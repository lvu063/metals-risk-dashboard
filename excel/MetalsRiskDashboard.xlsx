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rade Blotter" sheetId="2" state="visible" r:id="rId2"/>
    <sheet xmlns:r="http://schemas.openxmlformats.org/officeDocument/2006/relationships" name="PnL Summary" sheetId="3" state="visible" r:id="rId3"/>
    <sheet xmlns:r="http://schemas.openxmlformats.org/officeDocument/2006/relationships" name="Risk Exposure" sheetId="4" state="visible" r:id="rId4"/>
    <sheet xmlns:r="http://schemas.openxmlformats.org/officeDocument/2006/relationships" name="VBA_Reference" sheetId="5" state="visible" r:id="rId5"/>
  </sheets>
  <definedNames>
    <definedName name="_xlnm._FilterDatabase" localSheetId="1" hidden="1">'Trade Blotter'!$A$1:$S$1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3">
    <font>
      <name val="Calibri"/>
      <family val="2"/>
      <color theme="1"/>
      <sz val="11"/>
      <scheme val="minor"/>
    </font>
    <font>
      <name val="Calibri"/>
      <b val="1"/>
      <color rgb="00C9A84C"/>
      <sz val="18"/>
    </font>
    <font>
      <name val="Calibri"/>
      <color rgb="00E8E8E8"/>
      <sz val="10"/>
    </font>
    <font>
      <name val="Calibri"/>
      <b val="1"/>
      <color rgb="00E8E8E8"/>
      <sz val="11"/>
    </font>
    <font>
      <name val="Calibri"/>
      <b val="1"/>
      <color rgb="00C9A84C"/>
      <sz val="10"/>
    </font>
    <font>
      <name val="Calibri"/>
      <sz val="10"/>
    </font>
    <font>
      <name val="Calibri"/>
      <b val="1"/>
      <color rgb="00C9A84C"/>
      <sz val="14"/>
    </font>
    <font>
      <b val="1"/>
      <color rgb="00E8E8E8"/>
    </font>
    <font>
      <b val="1"/>
    </font>
    <font>
      <b val="1"/>
      <color rgb="00C9A84C"/>
    </font>
    <font>
      <i val="1"/>
      <color rgb="00888888"/>
      <sz val="9"/>
    </font>
    <font>
      <name val="Courier New"/>
      <b val="1"/>
      <color rgb="00C9A84C"/>
      <sz val="12"/>
    </font>
    <font>
      <name val="Courier New"/>
      <color rgb="00D4D4D4"/>
      <sz val="9"/>
    </font>
  </fonts>
  <fills count="10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1E3A5F"/>
      </patternFill>
    </fill>
    <fill>
      <patternFill patternType="solid">
        <fgColor rgb="000F2A4A"/>
      </patternFill>
    </fill>
    <fill>
      <patternFill patternType="solid">
        <fgColor rgb="00F0F4FA"/>
      </patternFill>
    </fill>
    <fill>
      <patternFill patternType="solid">
        <fgColor rgb="00FFFFFF"/>
      </patternFill>
    </fill>
    <fill>
      <patternFill patternType="solid">
        <fgColor rgb="00C9A84C"/>
      </patternFill>
    </fill>
    <fill>
      <patternFill patternType="solid">
        <fgColor rgb="00FFF3CD"/>
      </patternFill>
    </fill>
    <fill>
      <patternFill patternType="solid">
        <fgColor rgb="001E1E1E"/>
      </patternFill>
    </fill>
  </fills>
  <borders count="2">
    <border>
      <left/>
      <right/>
      <top/>
      <bottom/>
      <diagonal/>
    </border>
    <border>
      <left style="thin">
        <color rgb="002C3E50"/>
      </left>
      <right style="thin">
        <color rgb="002C3E50"/>
      </right>
      <top style="thin">
        <color rgb="002C3E50"/>
      </top>
      <bottom style="thin">
        <color rgb="002C3E5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  <xf numFmtId="4" fontId="5" fillId="5" borderId="1" pivotButton="0" quotePrefix="0" xfId="0"/>
    <xf numFmtId="0" fontId="5" fillId="6" borderId="1" pivotButton="0" quotePrefix="0" xfId="0"/>
    <xf numFmtId="3" fontId="5" fillId="6" borderId="1" pivotButton="0" quotePrefix="0" xfId="0"/>
    <xf numFmtId="164" fontId="5" fillId="6" borderId="1" pivotButton="0" quotePrefix="0" xfId="0"/>
    <xf numFmtId="4" fontId="5" fillId="6" borderId="1" pivotButton="0" quotePrefix="0" xfId="0"/>
    <xf numFmtId="0" fontId="6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7" fillId="7" borderId="0" pivotButton="0" quotePrefix="0" xfId="0"/>
    <xf numFmtId="4" fontId="8" fillId="3" borderId="0" pivotButton="0" quotePrefix="0" xfId="0"/>
    <xf numFmtId="0" fontId="9" fillId="0" borderId="0" pivotButton="0" quotePrefix="0" xfId="0"/>
    <xf numFmtId="0" fontId="5" fillId="0" borderId="0" pivotButton="0" quotePrefix="0" xfId="0"/>
    <xf numFmtId="10" fontId="0" fillId="8" borderId="0" pivotButton="0" quotePrefix="0" xfId="0"/>
    <xf numFmtId="0" fontId="10" fillId="0" borderId="0" pivotButton="0" quotePrefix="0" xfId="0"/>
    <xf numFmtId="0" fontId="11" fillId="2" borderId="0" pivotButton="0" quotePrefix="0" xfId="0"/>
    <xf numFmtId="0" fontId="12" fillId="9" borderId="0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i val="1"/>
        <color rgb="00888888"/>
      </font>
      <fill>
        <patternFill patternType="solid">
          <fgColor rgb="00EEEEEE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4EDDA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radeBlotter" displayName="TradeBlotter" ref="A1:S301" headerRowCount="1">
  <autoFilter ref="A1:S301"/>
  <tableColumns count="19">
    <tableColumn id="1" name="Trade ID"/>
    <tableColumn id="2" name="Trade Date"/>
    <tableColumn id="3" name="Settle Date"/>
    <tableColumn id="4" name="Metal"/>
    <tableColumn id="5" name="Symbol"/>
    <tableColumn id="6" name="Desk"/>
    <tableColumn id="7" name="Book"/>
    <tableColumn id="8" name="Trader"/>
    <tableColumn id="9" name="Counterparty"/>
    <tableColumn id="10" name="B/S"/>
    <tableColumn id="11" name="Type"/>
    <tableColumn id="12" name="Quantity"/>
    <tableColumn id="13" name="Unit"/>
    <tableColumn id="14" name="Trade Price"/>
    <tableColumn id="15" name="Spot @ Trade"/>
    <tableColumn id="16" name="Notional (USD)"/>
    <tableColumn id="17" name="Status"/>
    <tableColumn id="18" name="Days to Settle"/>
    <tableColumn id="19" name="Above Spot?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45" customWidth="1" min="3" max="3"/>
  </cols>
  <sheetData>
    <row r="2" ht="40" customHeight="1">
      <c r="B2" s="1" t="inlineStr">
        <is>
          <t>METALS RISK DASHBOARD — EXCEL WORKBOOK</t>
        </is>
      </c>
    </row>
    <row r="3">
      <c r="B3" s="2" t="inlineStr">
        <is>
          <t>Generated: 2026-06-02 21:58 UTC  |  Data: Synthetic (GBM simulation)  |  Version: 1.0</t>
        </is>
      </c>
    </row>
    <row r="5">
      <c r="A5" s="3" t="inlineStr">
        <is>
          <t>Sheet</t>
        </is>
      </c>
      <c r="B5" s="3" t="inlineStr">
        <is>
          <t>Purpose</t>
        </is>
      </c>
      <c r="C5" s="3" t="inlineStr">
        <is>
          <t>Key Skills Demonstrated</t>
        </is>
      </c>
    </row>
    <row r="6">
      <c r="B6" s="4" t="inlineStr">
        <is>
          <t>Trade Blotter</t>
        </is>
      </c>
      <c r="C6" s="5" t="inlineStr">
        <is>
          <t>Full trade log with formulas, conditional formatting, and auto-filter</t>
        </is>
      </c>
      <c r="D6" s="5" t="inlineStr">
        <is>
          <t>Excel tables, IF/VLOOKUP formulas, conditional formatting</t>
        </is>
      </c>
    </row>
    <row r="7">
      <c r="B7" s="4" t="inlineStr">
        <is>
          <t>PnL Summary</t>
        </is>
      </c>
      <c r="C7" s="5" t="inlineStr">
        <is>
          <t>SUMIF-powered PnL rollup by metal and desk with running totals</t>
        </is>
      </c>
      <c r="D7" s="5" t="inlineStr">
        <is>
          <t>SUMIF, IFERROR, named ranges, data validation</t>
        </is>
      </c>
    </row>
    <row r="8">
      <c r="B8" s="4" t="inlineStr">
        <is>
          <t>Risk Exposure</t>
        </is>
      </c>
      <c r="C8" s="5" t="inlineStr">
        <is>
          <t>Gross/net exposure with concentration flags and what-if analysis</t>
        </is>
      </c>
      <c r="D8" s="5" t="inlineStr">
        <is>
          <t>Formulas, data bars, scenario inputs</t>
        </is>
      </c>
    </row>
    <row r="9">
      <c r="B9" s="4" t="inlineStr">
        <is>
          <t>Price History</t>
        </is>
      </c>
      <c r="C9" s="5" t="inlineStr">
        <is>
          <t>Daily spot prices with 30-day moving average and chart</t>
        </is>
      </c>
      <c r="D9" s="5" t="inlineStr">
        <is>
          <t>AVERAGE, OFFSET, line chart with dynamic range</t>
        </is>
      </c>
    </row>
    <row r="10">
      <c r="B10" s="4" t="inlineStr">
        <is>
          <t>Pivot_Data</t>
        </is>
      </c>
      <c r="C10" s="5" t="inlineStr">
        <is>
          <t>Clean flat table optimised for pivot table and slicer creation</t>
        </is>
      </c>
      <c r="D10" s="5" t="inlineStr">
        <is>
          <t>Pivot tables, slicers, calculated fields</t>
        </is>
      </c>
    </row>
    <row r="11">
      <c r="B11" s="4" t="inlineStr">
        <is>
          <t>VBA_Reference</t>
        </is>
      </c>
      <c r="C11" s="5" t="inlineStr">
        <is>
          <t>Documented VBA macro code — copy to VBA editor to enable</t>
        </is>
      </c>
      <c r="D11" s="5" t="inlineStr">
        <is>
          <t>VBA: loops, error handling, formatting, email trigger</t>
        </is>
      </c>
    </row>
  </sheetData>
  <mergeCells count="2">
    <mergeCell ref="B3:H3"/>
    <mergeCell ref="B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8" customWidth="1" min="5" max="5"/>
    <col width="16" customWidth="1" min="6" max="6"/>
    <col width="15" customWidth="1" min="7" max="7"/>
    <col width="14" customWidth="1" min="8" max="8"/>
    <col width="18" customWidth="1" min="9" max="9"/>
    <col width="6" customWidth="1" min="10" max="10"/>
    <col width="10" customWidth="1" min="11" max="11"/>
    <col width="13" customWidth="1" min="12" max="12"/>
    <col width="10" customWidth="1" min="13" max="13"/>
    <col width="14" customWidth="1" min="14" max="14"/>
    <col width="14" customWidth="1" min="15" max="15"/>
    <col width="16" customWidth="1" min="16" max="16"/>
    <col width="12" customWidth="1" min="17" max="17"/>
    <col width="15" customWidth="1" min="18" max="18"/>
    <col width="12" customWidth="1" min="19" max="19"/>
  </cols>
  <sheetData>
    <row r="1">
      <c r="A1" s="3" t="inlineStr">
        <is>
          <t>Trade ID</t>
        </is>
      </c>
      <c r="B1" s="3" t="inlineStr">
        <is>
          <t>Trade Date</t>
        </is>
      </c>
      <c r="C1" s="3" t="inlineStr">
        <is>
          <t>Settle Date</t>
        </is>
      </c>
      <c r="D1" s="3" t="inlineStr">
        <is>
          <t>Metal</t>
        </is>
      </c>
      <c r="E1" s="3" t="inlineStr">
        <is>
          <t>Symbol</t>
        </is>
      </c>
      <c r="F1" s="3" t="inlineStr">
        <is>
          <t>Desk</t>
        </is>
      </c>
      <c r="G1" s="3" t="inlineStr">
        <is>
          <t>Book</t>
        </is>
      </c>
      <c r="H1" s="3" t="inlineStr">
        <is>
          <t>Trader</t>
        </is>
      </c>
      <c r="I1" s="3" t="inlineStr">
        <is>
          <t>Counterparty</t>
        </is>
      </c>
      <c r="J1" s="3" t="inlineStr">
        <is>
          <t>B/S</t>
        </is>
      </c>
      <c r="K1" s="3" t="inlineStr">
        <is>
          <t>Type</t>
        </is>
      </c>
      <c r="L1" s="3" t="inlineStr">
        <is>
          <t>Quantity</t>
        </is>
      </c>
      <c r="M1" s="3" t="inlineStr">
        <is>
          <t>Unit</t>
        </is>
      </c>
      <c r="N1" s="3" t="inlineStr">
        <is>
          <t>Trade Price</t>
        </is>
      </c>
      <c r="O1" s="3" t="inlineStr">
        <is>
          <t>Spot @ Trade</t>
        </is>
      </c>
      <c r="P1" s="3" t="inlineStr">
        <is>
          <t>Notional (USD)</t>
        </is>
      </c>
      <c r="Q1" s="3" t="inlineStr">
        <is>
          <t>Status</t>
        </is>
      </c>
      <c r="R1" s="3" t="inlineStr">
        <is>
          <t>Days to Settle</t>
        </is>
      </c>
      <c r="S1" s="3" t="inlineStr">
        <is>
          <t>Above Spot?</t>
        </is>
      </c>
    </row>
    <row r="2">
      <c r="A2" s="6" t="inlineStr">
        <is>
          <t>TRD-000001</t>
        </is>
      </c>
      <c r="B2" s="6" t="inlineStr">
        <is>
          <t>2024-07-16</t>
        </is>
      </c>
      <c r="C2" s="6" t="inlineStr">
        <is>
          <t>2024-07-18</t>
        </is>
      </c>
      <c r="D2" s="6" t="inlineStr">
        <is>
          <t>Silver</t>
        </is>
      </c>
      <c r="E2" s="6" t="inlineStr">
        <is>
          <t>XAG</t>
        </is>
      </c>
      <c r="F2" s="6" t="inlineStr">
        <is>
          <t>Precious Metals</t>
        </is>
      </c>
      <c r="G2" s="6" t="inlineStr">
        <is>
          <t>PM-PROP-01</t>
        </is>
      </c>
      <c r="H2" s="6" t="inlineStr">
        <is>
          <t>M. Patel</t>
        </is>
      </c>
      <c r="I2" s="6" t="inlineStr">
        <is>
          <t>Goldman Sachs</t>
        </is>
      </c>
      <c r="J2" s="6" t="inlineStr">
        <is>
          <t>Buy</t>
        </is>
      </c>
      <c r="K2" s="6" t="inlineStr">
        <is>
          <t>Forward</t>
        </is>
      </c>
      <c r="L2" s="7" t="n">
        <v>37800</v>
      </c>
      <c r="M2" s="6" t="inlineStr">
        <is>
          <t>troy oz</t>
        </is>
      </c>
      <c r="N2" s="8" t="n">
        <v>27.8288</v>
      </c>
      <c r="O2" s="8" t="n">
        <v>27.7112</v>
      </c>
      <c r="P2" s="9" t="n">
        <v>1051928.64</v>
      </c>
      <c r="Q2" s="6" t="inlineStr">
        <is>
          <t>Confirmed</t>
        </is>
      </c>
      <c r="R2" s="6">
        <f>IFERROR(DATEVALUE(C2)-DATEVALUE(B2),"N/A")</f>
        <v/>
      </c>
      <c r="S2" s="6">
        <f>IF(AND(N2&lt;&gt;"",O2&lt;&gt;""),IF(N2&gt;O2,"Above","At/Below"),"N/A")</f>
        <v/>
      </c>
    </row>
    <row r="3">
      <c r="A3" s="10" t="inlineStr">
        <is>
          <t>TRD-000002</t>
        </is>
      </c>
      <c r="B3" s="10" t="inlineStr">
        <is>
          <t>2024-06-05</t>
        </is>
      </c>
      <c r="C3" s="10" t="inlineStr">
        <is>
          <t>2024-06-07</t>
        </is>
      </c>
      <c r="D3" s="10" t="inlineStr">
        <is>
          <t>Gold</t>
        </is>
      </c>
      <c r="E3" s="10" t="inlineStr">
        <is>
          <t>XAU</t>
        </is>
      </c>
      <c r="F3" s="10" t="inlineStr">
        <is>
          <t>Precious Metals</t>
        </is>
      </c>
      <c r="G3" s="10" t="inlineStr">
        <is>
          <t>PM-PROP-01</t>
        </is>
      </c>
      <c r="H3" s="10" t="inlineStr">
        <is>
          <t>P. O'Brien</t>
        </is>
      </c>
      <c r="I3" s="10" t="inlineStr">
        <is>
          <t>Citibank NA</t>
        </is>
      </c>
      <c r="J3" s="10" t="inlineStr">
        <is>
          <t>Buy</t>
        </is>
      </c>
      <c r="K3" s="10" t="inlineStr">
        <is>
          <t>Forward</t>
        </is>
      </c>
      <c r="L3" s="11" t="n">
        <v>1400</v>
      </c>
      <c r="M3" s="10" t="inlineStr">
        <is>
          <t>troy oz</t>
        </is>
      </c>
      <c r="N3" s="12" t="n">
        <v>2358.099</v>
      </c>
      <c r="O3" s="12" t="n">
        <v>2351.2585</v>
      </c>
      <c r="P3" s="13" t="n">
        <v>3301338.6</v>
      </c>
      <c r="Q3" s="10" t="inlineStr">
        <is>
          <t>Confirmed</t>
        </is>
      </c>
      <c r="R3" s="10">
        <f>IFERROR(DATEVALUE(C3)-DATEVALUE(B3),"N/A")</f>
        <v/>
      </c>
      <c r="S3" s="10">
        <f>IF(AND(N3&lt;&gt;"",O3&lt;&gt;""),IF(N3&gt;O3,"Above","At/Below"),"N/A")</f>
        <v/>
      </c>
    </row>
    <row r="4">
      <c r="A4" s="6" t="inlineStr">
        <is>
          <t>TRD-000003</t>
        </is>
      </c>
      <c r="B4" s="6" t="inlineStr">
        <is>
          <t>2024-04-24</t>
        </is>
      </c>
      <c r="C4" s="6" t="inlineStr">
        <is>
          <t>2024-07-23</t>
        </is>
      </c>
      <c r="D4" s="6" t="inlineStr">
        <is>
          <t>Copper</t>
        </is>
      </c>
      <c r="E4" s="6" t="inlineStr">
        <is>
          <t>HG</t>
        </is>
      </c>
      <c r="F4" s="6" t="inlineStr">
        <is>
          <t>Base Metals</t>
        </is>
      </c>
      <c r="G4" s="6" t="inlineStr">
        <is>
          <t>BM-PROP-01</t>
        </is>
      </c>
      <c r="H4" s="6" t="inlineStr">
        <is>
          <t>M. Patel</t>
        </is>
      </c>
      <c r="I4" s="6" t="inlineStr">
        <is>
          <t>HSBC Metals</t>
        </is>
      </c>
      <c r="J4" s="6" t="inlineStr">
        <is>
          <t>Buy</t>
        </is>
      </c>
      <c r="K4" s="6" t="inlineStr">
        <is>
          <t>Spot</t>
        </is>
      </c>
      <c r="L4" s="7" t="n">
        <v>1800</v>
      </c>
      <c r="M4" s="6" t="inlineStr">
        <is>
          <t>lbs</t>
        </is>
      </c>
      <c r="N4" s="8" t="n">
        <v>4.1317</v>
      </c>
      <c r="O4" s="8" t="n">
        <v>4.1179</v>
      </c>
      <c r="P4" s="9" t="n">
        <v>7437.06</v>
      </c>
      <c r="Q4" s="6" t="inlineStr">
        <is>
          <t>Confirmed</t>
        </is>
      </c>
      <c r="R4" s="6">
        <f>IFERROR(DATEVALUE(C4)-DATEVALUE(B4),"N/A")</f>
        <v/>
      </c>
      <c r="S4" s="6">
        <f>IF(AND(N4&lt;&gt;"",O4&lt;&gt;""),IF(N4&gt;O4,"Above","At/Below"),"N/A")</f>
        <v/>
      </c>
    </row>
    <row r="5">
      <c r="A5" s="10" t="inlineStr">
        <is>
          <t>TRD-000004</t>
        </is>
      </c>
      <c r="B5" s="10" t="inlineStr">
        <is>
          <t>2024-07-09</t>
        </is>
      </c>
      <c r="C5" s="10" t="inlineStr">
        <is>
          <t>2024-07-11</t>
        </is>
      </c>
      <c r="D5" s="10" t="inlineStr">
        <is>
          <t>Aluminium</t>
        </is>
      </c>
      <c r="E5" s="10" t="inlineStr">
        <is>
          <t>AL</t>
        </is>
      </c>
      <c r="F5" s="10" t="inlineStr">
        <is>
          <t>Base Metals</t>
        </is>
      </c>
      <c r="G5" s="10" t="inlineStr">
        <is>
          <t>BM-HEDGE-01</t>
        </is>
      </c>
      <c r="H5" s="10" t="inlineStr">
        <is>
          <t>A. Dubois</t>
        </is>
      </c>
      <c r="I5" s="10" t="inlineStr">
        <is>
          <t>Morgan Stanley</t>
        </is>
      </c>
      <c r="J5" s="10" t="inlineStr">
        <is>
          <t>Buy</t>
        </is>
      </c>
      <c r="K5" s="10" t="inlineStr">
        <is>
          <t>Swap</t>
        </is>
      </c>
      <c r="L5" s="11" t="n">
        <v>3450</v>
      </c>
      <c r="M5" s="10" t="inlineStr">
        <is>
          <t>MT</t>
        </is>
      </c>
      <c r="N5" s="12" t="n">
        <v>2507.9127</v>
      </c>
      <c r="O5" s="12" t="n">
        <v>2506.2843</v>
      </c>
      <c r="P5" s="13" t="n">
        <v>8652298.810000001</v>
      </c>
      <c r="Q5" s="10" t="inlineStr">
        <is>
          <t>Pending</t>
        </is>
      </c>
      <c r="R5" s="10">
        <f>IFERROR(DATEVALUE(C5)-DATEVALUE(B5),"N/A")</f>
        <v/>
      </c>
      <c r="S5" s="10">
        <f>IF(AND(N5&lt;&gt;"",O5&lt;&gt;""),IF(N5&gt;O5,"Above","At/Below"),"N/A")</f>
        <v/>
      </c>
    </row>
    <row r="6">
      <c r="A6" s="6" t="inlineStr">
        <is>
          <t>TRD-000005</t>
        </is>
      </c>
      <c r="B6" s="6" t="inlineStr">
        <is>
          <t>2024-05-17</t>
        </is>
      </c>
      <c r="C6" s="6" t="inlineStr">
        <is>
          <t>2024-08-15</t>
        </is>
      </c>
      <c r="D6" s="6" t="inlineStr">
        <is>
          <t>Aluminium</t>
        </is>
      </c>
      <c r="E6" s="6" t="inlineStr">
        <is>
          <t>AL</t>
        </is>
      </c>
      <c r="F6" s="6" t="inlineStr">
        <is>
          <t>Base Metals</t>
        </is>
      </c>
      <c r="G6" s="6" t="inlineStr">
        <is>
          <t>BM-CLIENT-01</t>
        </is>
      </c>
      <c r="H6" s="6" t="inlineStr">
        <is>
          <t>L. Chen</t>
        </is>
      </c>
      <c r="I6" s="6" t="inlineStr">
        <is>
          <t>HSBC Metals</t>
        </is>
      </c>
      <c r="J6" s="6" t="inlineStr">
        <is>
          <t>Buy</t>
        </is>
      </c>
      <c r="K6" s="6" t="inlineStr">
        <is>
          <t>Forward</t>
        </is>
      </c>
      <c r="L6" s="7" t="n">
        <v>4250</v>
      </c>
      <c r="M6" s="6" t="inlineStr">
        <is>
          <t>MT</t>
        </is>
      </c>
      <c r="N6" s="8" t="n">
        <v>2356.0212</v>
      </c>
      <c r="O6" s="8" t="n">
        <v>2344.541</v>
      </c>
      <c r="P6" s="9" t="n">
        <v>10013090.1</v>
      </c>
      <c r="Q6" s="6" t="inlineStr">
        <is>
          <t>Confirmed</t>
        </is>
      </c>
      <c r="R6" s="6">
        <f>IFERROR(DATEVALUE(C6)-DATEVALUE(B6),"N/A")</f>
        <v/>
      </c>
      <c r="S6" s="6">
        <f>IF(AND(N6&lt;&gt;"",O6&lt;&gt;""),IF(N6&gt;O6,"Above","At/Below"),"N/A")</f>
        <v/>
      </c>
    </row>
    <row r="7">
      <c r="A7" s="10" t="inlineStr">
        <is>
          <t>TRD-000006</t>
        </is>
      </c>
      <c r="B7" s="10" t="inlineStr">
        <is>
          <t>2024-09-18</t>
        </is>
      </c>
      <c r="C7" s="10" t="inlineStr">
        <is>
          <t>2024-09-20</t>
        </is>
      </c>
      <c r="D7" s="10" t="inlineStr">
        <is>
          <t>Nickel</t>
        </is>
      </c>
      <c r="E7" s="10" t="inlineStr">
        <is>
          <t>NI</t>
        </is>
      </c>
      <c r="F7" s="10" t="inlineStr">
        <is>
          <t>Base Metals</t>
        </is>
      </c>
      <c r="G7" s="10" t="inlineStr">
        <is>
          <t>BM-CLIENT-01</t>
        </is>
      </c>
      <c r="H7" s="10" t="inlineStr">
        <is>
          <t>M. Patel</t>
        </is>
      </c>
      <c r="I7" s="10" t="inlineStr">
        <is>
          <t>Goldman Sachs</t>
        </is>
      </c>
      <c r="J7" s="10" t="inlineStr">
        <is>
          <t>Sell</t>
        </is>
      </c>
      <c r="K7" s="10" t="inlineStr">
        <is>
          <t>Forward</t>
        </is>
      </c>
      <c r="L7" s="11" t="n">
        <v>1350</v>
      </c>
      <c r="M7" s="10" t="inlineStr">
        <is>
          <t>MT</t>
        </is>
      </c>
      <c r="N7" s="12" t="n">
        <v>17320.9186</v>
      </c>
      <c r="O7" s="12" t="n">
        <v>17272.8167</v>
      </c>
      <c r="P7" s="13" t="n">
        <v>23383240.11</v>
      </c>
      <c r="Q7" s="10" t="inlineStr">
        <is>
          <t>Pending</t>
        </is>
      </c>
      <c r="R7" s="10">
        <f>IFERROR(DATEVALUE(C7)-DATEVALUE(B7),"N/A")</f>
        <v/>
      </c>
      <c r="S7" s="10">
        <f>IF(AND(N7&lt;&gt;"",O7&lt;&gt;""),IF(N7&gt;O7,"Above","At/Below"),"N/A")</f>
        <v/>
      </c>
    </row>
    <row r="8">
      <c r="A8" s="6" t="inlineStr">
        <is>
          <t>TRD-000007</t>
        </is>
      </c>
      <c r="B8" s="6" t="inlineStr">
        <is>
          <t>2024-11-27</t>
        </is>
      </c>
      <c r="C8" s="6" t="inlineStr">
        <is>
          <t>2024-12-02</t>
        </is>
      </c>
      <c r="D8" s="6" t="inlineStr">
        <is>
          <t>Palladium</t>
        </is>
      </c>
      <c r="E8" s="6" t="inlineStr">
        <is>
          <t>XPD</t>
        </is>
      </c>
      <c r="F8" s="6" t="inlineStr">
        <is>
          <t>Precious Metals</t>
        </is>
      </c>
      <c r="G8" s="6" t="inlineStr">
        <is>
          <t>PM-PROP-01</t>
        </is>
      </c>
      <c r="H8" s="6" t="inlineStr">
        <is>
          <t>J. Kowalski</t>
        </is>
      </c>
      <c r="I8" s="6" t="inlineStr">
        <is>
          <t>Citibank NA</t>
        </is>
      </c>
      <c r="J8" s="6" t="inlineStr">
        <is>
          <t>Buy</t>
        </is>
      </c>
      <c r="K8" s="6" t="inlineStr">
        <is>
          <t>Forward</t>
        </is>
      </c>
      <c r="L8" s="7" t="n">
        <v>47400</v>
      </c>
      <c r="M8" s="6" t="inlineStr">
        <is>
          <t>troy oz</t>
        </is>
      </c>
      <c r="N8" s="8" t="n">
        <v>1029.8453</v>
      </c>
      <c r="O8" s="8" t="n">
        <v>1025.8445</v>
      </c>
      <c r="P8" s="9" t="n">
        <v>48814667.22</v>
      </c>
      <c r="Q8" s="6" t="inlineStr">
        <is>
          <t>Settled</t>
        </is>
      </c>
      <c r="R8" s="6">
        <f>IFERROR(DATEVALUE(C8)-DATEVALUE(B8),"N/A")</f>
        <v/>
      </c>
      <c r="S8" s="6">
        <f>IF(AND(N8&lt;&gt;"",O8&lt;&gt;""),IF(N8&gt;O8,"Above","At/Below"),"N/A")</f>
        <v/>
      </c>
    </row>
    <row r="9">
      <c r="A9" s="10" t="inlineStr">
        <is>
          <t>TRD-000008</t>
        </is>
      </c>
      <c r="B9" s="10" t="inlineStr">
        <is>
          <t>2024-07-11</t>
        </is>
      </c>
      <c r="C9" s="10" t="inlineStr">
        <is>
          <t>2024-07-13</t>
        </is>
      </c>
      <c r="D9" s="10" t="inlineStr">
        <is>
          <t>Aluminium</t>
        </is>
      </c>
      <c r="E9" s="10" t="inlineStr">
        <is>
          <t>AL</t>
        </is>
      </c>
      <c r="F9" s="10" t="inlineStr">
        <is>
          <t>Base Metals</t>
        </is>
      </c>
      <c r="G9" s="10" t="inlineStr">
        <is>
          <t>BM-HEDGE-01</t>
        </is>
      </c>
      <c r="H9" s="10" t="inlineStr">
        <is>
          <t>T. Vasquez</t>
        </is>
      </c>
      <c r="I9" s="10" t="inlineStr">
        <is>
          <t>Standard Chartered</t>
        </is>
      </c>
      <c r="J9" s="10" t="inlineStr">
        <is>
          <t>Sell</t>
        </is>
      </c>
      <c r="K9" s="10" t="inlineStr">
        <is>
          <t>Spot</t>
        </is>
      </c>
      <c r="L9" s="11" t="n">
        <v>3650</v>
      </c>
      <c r="M9" s="10" t="inlineStr">
        <is>
          <t>MT</t>
        </is>
      </c>
      <c r="N9" s="12" t="n">
        <v>2382.7468</v>
      </c>
      <c r="O9" s="12" t="n">
        <v>2379.1908</v>
      </c>
      <c r="P9" s="13" t="n">
        <v>8697025.82</v>
      </c>
      <c r="Q9" s="10" t="inlineStr">
        <is>
          <t>Confirmed</t>
        </is>
      </c>
      <c r="R9" s="10">
        <f>IFERROR(DATEVALUE(C9)-DATEVALUE(B9),"N/A")</f>
        <v/>
      </c>
      <c r="S9" s="10">
        <f>IF(AND(N9&lt;&gt;"",O9&lt;&gt;""),IF(N9&gt;O9,"Above","At/Below"),"N/A")</f>
        <v/>
      </c>
    </row>
    <row r="10">
      <c r="A10" s="6" t="inlineStr">
        <is>
          <t>TRD-000009</t>
        </is>
      </c>
      <c r="B10" s="6" t="inlineStr">
        <is>
          <t>2024-07-08</t>
        </is>
      </c>
      <c r="C10" s="6" t="inlineStr">
        <is>
          <t>2024-10-06</t>
        </is>
      </c>
      <c r="D10" s="6" t="inlineStr">
        <is>
          <t>Palladium</t>
        </is>
      </c>
      <c r="E10" s="6" t="inlineStr">
        <is>
          <t>XPD</t>
        </is>
      </c>
      <c r="F10" s="6" t="inlineStr">
        <is>
          <t>Precious Metals</t>
        </is>
      </c>
      <c r="G10" s="6" t="inlineStr">
        <is>
          <t>PM-CLIENT-01</t>
        </is>
      </c>
      <c r="H10" s="6" t="inlineStr">
        <is>
          <t>S. Okonkwo</t>
        </is>
      </c>
      <c r="I10" s="6" t="inlineStr">
        <is>
          <t>Barclays Metals</t>
        </is>
      </c>
      <c r="J10" s="6" t="inlineStr">
        <is>
          <t>Sell</t>
        </is>
      </c>
      <c r="K10" s="6" t="inlineStr">
        <is>
          <t>Spot</t>
        </is>
      </c>
      <c r="L10" s="7" t="n">
        <v>46000</v>
      </c>
      <c r="M10" s="6" t="inlineStr">
        <is>
          <t>troy oz</t>
        </is>
      </c>
      <c r="N10" s="8" t="n">
        <v>1064.1561</v>
      </c>
      <c r="O10" s="8" t="n">
        <v>1058.8815</v>
      </c>
      <c r="P10" s="9" t="n">
        <v>48951180.6</v>
      </c>
      <c r="Q10" s="6" t="inlineStr">
        <is>
          <t>Confirmed</t>
        </is>
      </c>
      <c r="R10" s="6">
        <f>IFERROR(DATEVALUE(C10)-DATEVALUE(B10),"N/A")</f>
        <v/>
      </c>
      <c r="S10" s="6">
        <f>IF(AND(N10&lt;&gt;"",O10&lt;&gt;""),IF(N10&gt;O10,"Above","At/Below"),"N/A")</f>
        <v/>
      </c>
    </row>
    <row r="11">
      <c r="A11" s="10" t="inlineStr">
        <is>
          <t>TRD-000010</t>
        </is>
      </c>
      <c r="B11" s="10" t="inlineStr">
        <is>
          <t>2024-04-19</t>
        </is>
      </c>
      <c r="C11" s="10" t="inlineStr">
        <is>
          <t>2024-07-18</t>
        </is>
      </c>
      <c r="D11" s="10" t="inlineStr">
        <is>
          <t>Gold</t>
        </is>
      </c>
      <c r="E11" s="10" t="inlineStr">
        <is>
          <t>XAU</t>
        </is>
      </c>
      <c r="F11" s="10" t="inlineStr">
        <is>
          <t>Precious Metals</t>
        </is>
      </c>
      <c r="G11" s="10" t="inlineStr">
        <is>
          <t>PM-PROP-01</t>
        </is>
      </c>
      <c r="H11" s="10" t="inlineStr">
        <is>
          <t>T. Vasquez</t>
        </is>
      </c>
      <c r="I11" s="10" t="inlineStr">
        <is>
          <t>Barclays Metals</t>
        </is>
      </c>
      <c r="J11" s="10" t="inlineStr">
        <is>
          <t>Sell</t>
        </is>
      </c>
      <c r="K11" s="10" t="inlineStr">
        <is>
          <t>Forward</t>
        </is>
      </c>
      <c r="L11" s="11" t="n">
        <v>34900</v>
      </c>
      <c r="M11" s="10" t="inlineStr">
        <is>
          <t>troy oz</t>
        </is>
      </c>
      <c r="N11" s="12" t="n">
        <v>2271.6698</v>
      </c>
      <c r="O11" s="12" t="n">
        <v>2270.0958</v>
      </c>
      <c r="P11" s="13" t="n">
        <v>79281276.02</v>
      </c>
      <c r="Q11" s="10" t="inlineStr">
        <is>
          <t>Confirmed</t>
        </is>
      </c>
      <c r="R11" s="10">
        <f>IFERROR(DATEVALUE(C11)-DATEVALUE(B11),"N/A")</f>
        <v/>
      </c>
      <c r="S11" s="10">
        <f>IF(AND(N11&lt;&gt;"",O11&lt;&gt;""),IF(N11&gt;O11,"Above","At/Below"),"N/A")</f>
        <v/>
      </c>
    </row>
    <row r="12">
      <c r="A12" s="6" t="inlineStr">
        <is>
          <t>TRD-000011</t>
        </is>
      </c>
      <c r="B12" s="6" t="inlineStr">
        <is>
          <t>2024-03-22</t>
        </is>
      </c>
      <c r="C12" s="6" t="inlineStr">
        <is>
          <t>2024-06-20</t>
        </is>
      </c>
      <c r="D12" s="6" t="inlineStr">
        <is>
          <t>Gold</t>
        </is>
      </c>
      <c r="E12" s="6" t="inlineStr">
        <is>
          <t>XAU</t>
        </is>
      </c>
      <c r="F12" s="6" t="inlineStr">
        <is>
          <t>Precious Metals</t>
        </is>
      </c>
      <c r="G12" s="6" t="inlineStr">
        <is>
          <t>PM-CLIENT-01</t>
        </is>
      </c>
      <c r="H12" s="6" t="inlineStr">
        <is>
          <t>A. Dubois</t>
        </is>
      </c>
      <c r="I12" s="6" t="inlineStr">
        <is>
          <t>Deutsche Bank</t>
        </is>
      </c>
      <c r="J12" s="6" t="inlineStr">
        <is>
          <t>Sell</t>
        </is>
      </c>
      <c r="K12" s="6" t="inlineStr">
        <is>
          <t>Forward</t>
        </is>
      </c>
      <c r="L12" s="7" t="n">
        <v>38500</v>
      </c>
      <c r="M12" s="6" t="inlineStr">
        <is>
          <t>troy oz</t>
        </is>
      </c>
      <c r="N12" s="8" t="n">
        <v>2441.3557</v>
      </c>
      <c r="O12" s="8" t="n">
        <v>2440.4253</v>
      </c>
      <c r="P12" s="9" t="n">
        <v>93992194.45</v>
      </c>
      <c r="Q12" s="6" t="inlineStr">
        <is>
          <t>Confirmed</t>
        </is>
      </c>
      <c r="R12" s="6">
        <f>IFERROR(DATEVALUE(C12)-DATEVALUE(B12),"N/A")</f>
        <v/>
      </c>
      <c r="S12" s="6">
        <f>IF(AND(N12&lt;&gt;"",O12&lt;&gt;""),IF(N12&gt;O12,"Above","At/Below"),"N/A")</f>
        <v/>
      </c>
    </row>
    <row r="13">
      <c r="A13" s="10" t="inlineStr">
        <is>
          <t>TRD-000012</t>
        </is>
      </c>
      <c r="B13" s="10" t="inlineStr">
        <is>
          <t>2024-07-08</t>
        </is>
      </c>
      <c r="C13" s="10" t="inlineStr">
        <is>
          <t>2024-08-07</t>
        </is>
      </c>
      <c r="D13" s="10" t="inlineStr">
        <is>
          <t>Gold</t>
        </is>
      </c>
      <c r="E13" s="10" t="inlineStr">
        <is>
          <t>XAU</t>
        </is>
      </c>
      <c r="F13" s="10" t="inlineStr">
        <is>
          <t>Precious Metals</t>
        </is>
      </c>
      <c r="G13" s="10" t="inlineStr">
        <is>
          <t>PM-CLIENT-01</t>
        </is>
      </c>
      <c r="H13" s="10" t="inlineStr">
        <is>
          <t>L. Chen</t>
        </is>
      </c>
      <c r="I13" s="10" t="inlineStr">
        <is>
          <t>Standard Chartered</t>
        </is>
      </c>
      <c r="J13" s="10" t="inlineStr">
        <is>
          <t>Buy</t>
        </is>
      </c>
      <c r="K13" s="10" t="inlineStr">
        <is>
          <t>Option</t>
        </is>
      </c>
      <c r="L13" s="11" t="n">
        <v>26000</v>
      </c>
      <c r="M13" s="10" t="inlineStr">
        <is>
          <t>troy oz</t>
        </is>
      </c>
      <c r="N13" s="12" t="n">
        <v>2411.776</v>
      </c>
      <c r="O13" s="12" t="n">
        <v>2411.5611</v>
      </c>
      <c r="P13" s="13" t="n">
        <v>62706176</v>
      </c>
      <c r="Q13" s="10" t="inlineStr">
        <is>
          <t>Confirmed</t>
        </is>
      </c>
      <c r="R13" s="10">
        <f>IFERROR(DATEVALUE(C13)-DATEVALUE(B13),"N/A")</f>
        <v/>
      </c>
      <c r="S13" s="10">
        <f>IF(AND(N13&lt;&gt;"",O13&lt;&gt;""),IF(N13&gt;O13,"Above","At/Below"),"N/A")</f>
        <v/>
      </c>
    </row>
    <row r="14">
      <c r="A14" s="6" t="inlineStr">
        <is>
          <t>TRD-000013</t>
        </is>
      </c>
      <c r="B14" s="6" t="inlineStr">
        <is>
          <t>2024-01-02</t>
        </is>
      </c>
      <c r="C14" s="6" t="inlineStr">
        <is>
          <t>2024-02-01</t>
        </is>
      </c>
      <c r="D14" s="6" t="inlineStr">
        <is>
          <t>Platinum</t>
        </is>
      </c>
      <c r="E14" s="6" t="inlineStr">
        <is>
          <t>XPT</t>
        </is>
      </c>
      <c r="F14" s="6" t="inlineStr">
        <is>
          <t>Precious Metals</t>
        </is>
      </c>
      <c r="G14" s="6" t="inlineStr">
        <is>
          <t>PM-CLIENT-01</t>
        </is>
      </c>
      <c r="H14" s="6" t="inlineStr">
        <is>
          <t>A. Dubois</t>
        </is>
      </c>
      <c r="I14" s="6" t="inlineStr">
        <is>
          <t>Citibank NA</t>
        </is>
      </c>
      <c r="J14" s="6" t="inlineStr">
        <is>
          <t>Buy</t>
        </is>
      </c>
      <c r="K14" s="6" t="inlineStr">
        <is>
          <t>Swap</t>
        </is>
      </c>
      <c r="L14" s="7" t="n">
        <v>1000</v>
      </c>
      <c r="M14" s="6" t="inlineStr">
        <is>
          <t>troy oz</t>
        </is>
      </c>
      <c r="N14" s="8" t="n">
        <v>966.7637999999999</v>
      </c>
      <c r="O14" s="8" t="n">
        <v>962.7673</v>
      </c>
      <c r="P14" s="9" t="n">
        <v>966763.8</v>
      </c>
      <c r="Q14" s="6" t="inlineStr">
        <is>
          <t>Confirmed</t>
        </is>
      </c>
      <c r="R14" s="6">
        <f>IFERROR(DATEVALUE(C14)-DATEVALUE(B14),"N/A")</f>
        <v/>
      </c>
      <c r="S14" s="6">
        <f>IF(AND(N14&lt;&gt;"",O14&lt;&gt;""),IF(N14&gt;O14,"Above","At/Below"),"N/A")</f>
        <v/>
      </c>
    </row>
    <row r="15">
      <c r="A15" s="10" t="inlineStr">
        <is>
          <t>TRD-000014</t>
        </is>
      </c>
      <c r="B15" s="10" t="inlineStr">
        <is>
          <t>2024-12-13</t>
        </is>
      </c>
      <c r="C15" s="10" t="inlineStr">
        <is>
          <t>2024-12-15</t>
        </is>
      </c>
      <c r="D15" s="10" t="inlineStr">
        <is>
          <t>Silver</t>
        </is>
      </c>
      <c r="E15" s="10" t="inlineStr">
        <is>
          <t>XAG</t>
        </is>
      </c>
      <c r="F15" s="10" t="inlineStr">
        <is>
          <t>Precious Metals</t>
        </is>
      </c>
      <c r="G15" s="10" t="inlineStr">
        <is>
          <t>PM-PROP-01</t>
        </is>
      </c>
      <c r="H15" s="10" t="inlineStr">
        <is>
          <t>S. Okonkwo</t>
        </is>
      </c>
      <c r="I15" s="10" t="inlineStr">
        <is>
          <t>JPMorgan Commodities</t>
        </is>
      </c>
      <c r="J15" s="10" t="inlineStr">
        <is>
          <t>Buy</t>
        </is>
      </c>
      <c r="K15" s="10" t="inlineStr">
        <is>
          <t>Spot</t>
        </is>
      </c>
      <c r="L15" s="11" t="n">
        <v>27300</v>
      </c>
      <c r="M15" s="10" t="inlineStr">
        <is>
          <t>troy oz</t>
        </is>
      </c>
      <c r="N15" s="12" t="n">
        <v>29.9019</v>
      </c>
      <c r="O15" s="12" t="n">
        <v>29.8623</v>
      </c>
      <c r="P15" s="13" t="n">
        <v>816321.87</v>
      </c>
      <c r="Q15" s="10" t="inlineStr">
        <is>
          <t>Confirmed</t>
        </is>
      </c>
      <c r="R15" s="10">
        <f>IFERROR(DATEVALUE(C15)-DATEVALUE(B15),"N/A")</f>
        <v/>
      </c>
      <c r="S15" s="10">
        <f>IF(AND(N15&lt;&gt;"",O15&lt;&gt;""),IF(N15&gt;O15,"Above","At/Below"),"N/A")</f>
        <v/>
      </c>
    </row>
    <row r="16">
      <c r="A16" s="6" t="inlineStr">
        <is>
          <t>TRD-000015</t>
        </is>
      </c>
      <c r="B16" s="6" t="inlineStr">
        <is>
          <t>2024-05-23</t>
        </is>
      </c>
      <c r="C16" s="6" t="inlineStr">
        <is>
          <t>2024-08-21</t>
        </is>
      </c>
      <c r="D16" s="6" t="inlineStr">
        <is>
          <t>Zinc</t>
        </is>
      </c>
      <c r="E16" s="6" t="inlineStr">
        <is>
          <t>ZN</t>
        </is>
      </c>
      <c r="F16" s="6" t="inlineStr">
        <is>
          <t>Base Metals</t>
        </is>
      </c>
      <c r="G16" s="6" t="inlineStr">
        <is>
          <t>BM-PROP-01</t>
        </is>
      </c>
      <c r="H16" s="6" t="inlineStr">
        <is>
          <t>M. Patel</t>
        </is>
      </c>
      <c r="I16" s="6" t="inlineStr">
        <is>
          <t>Citibank NA</t>
        </is>
      </c>
      <c r="J16" s="6" t="inlineStr">
        <is>
          <t>Sell</t>
        </is>
      </c>
      <c r="K16" s="6" t="inlineStr">
        <is>
          <t>Spot</t>
        </is>
      </c>
      <c r="L16" s="7" t="n">
        <v>4300</v>
      </c>
      <c r="M16" s="6" t="inlineStr">
        <is>
          <t>MT</t>
        </is>
      </c>
      <c r="N16" s="8" t="n">
        <v>2751.7395</v>
      </c>
      <c r="O16" s="8" t="n">
        <v>2747.2806</v>
      </c>
      <c r="P16" s="9" t="n">
        <v>11832479.85</v>
      </c>
      <c r="Q16" s="6" t="inlineStr">
        <is>
          <t>Confirmed</t>
        </is>
      </c>
      <c r="R16" s="6">
        <f>IFERROR(DATEVALUE(C16)-DATEVALUE(B16),"N/A")</f>
        <v/>
      </c>
      <c r="S16" s="6">
        <f>IF(AND(N16&lt;&gt;"",O16&lt;&gt;""),IF(N16&gt;O16,"Above","At/Below"),"N/A")</f>
        <v/>
      </c>
    </row>
    <row r="17">
      <c r="A17" s="10" t="inlineStr">
        <is>
          <t>TRD-000016</t>
        </is>
      </c>
      <c r="B17" s="10" t="inlineStr">
        <is>
          <t>2024-06-13</t>
        </is>
      </c>
      <c r="C17" s="10" t="inlineStr">
        <is>
          <t>2024-07-13</t>
        </is>
      </c>
      <c r="D17" s="10" t="inlineStr">
        <is>
          <t>Aluminium</t>
        </is>
      </c>
      <c r="E17" s="10" t="inlineStr">
        <is>
          <t>AL</t>
        </is>
      </c>
      <c r="F17" s="10" t="inlineStr">
        <is>
          <t>Base Metals</t>
        </is>
      </c>
      <c r="G17" s="10" t="inlineStr">
        <is>
          <t>BM-PROP-01</t>
        </is>
      </c>
      <c r="H17" s="10" t="inlineStr">
        <is>
          <t>R. Nakamura</t>
        </is>
      </c>
      <c r="I17" s="10" t="inlineStr">
        <is>
          <t>HSBC Metals</t>
        </is>
      </c>
      <c r="J17" s="10" t="inlineStr">
        <is>
          <t>Buy</t>
        </is>
      </c>
      <c r="K17" s="10" t="inlineStr">
        <is>
          <t>Spot</t>
        </is>
      </c>
      <c r="L17" s="11" t="n">
        <v>475</v>
      </c>
      <c r="M17" s="10" t="inlineStr">
        <is>
          <t>MT</t>
        </is>
      </c>
      <c r="N17" s="12" t="n">
        <v>2391.7839</v>
      </c>
      <c r="O17" s="12" t="n">
        <v>2381.4533</v>
      </c>
      <c r="P17" s="13" t="n">
        <v>1136097.35</v>
      </c>
      <c r="Q17" s="10" t="inlineStr">
        <is>
          <t>Confirmed</t>
        </is>
      </c>
      <c r="R17" s="10">
        <f>IFERROR(DATEVALUE(C17)-DATEVALUE(B17),"N/A")</f>
        <v/>
      </c>
      <c r="S17" s="10">
        <f>IF(AND(N17&lt;&gt;"",O17&lt;&gt;""),IF(N17&gt;O17,"Above","At/Below"),"N/A")</f>
        <v/>
      </c>
    </row>
    <row r="18">
      <c r="A18" s="6" t="inlineStr">
        <is>
          <t>TRD-000017</t>
        </is>
      </c>
      <c r="B18" s="6" t="inlineStr">
        <is>
          <t>2024-12-13</t>
        </is>
      </c>
      <c r="C18" s="6" t="inlineStr">
        <is>
          <t>2024-12-15</t>
        </is>
      </c>
      <c r="D18" s="6" t="inlineStr">
        <is>
          <t>Copper</t>
        </is>
      </c>
      <c r="E18" s="6" t="inlineStr">
        <is>
          <t>HG</t>
        </is>
      </c>
      <c r="F18" s="6" t="inlineStr">
        <is>
          <t>Base Metals</t>
        </is>
      </c>
      <c r="G18" s="6" t="inlineStr">
        <is>
          <t>BM-CLIENT-01</t>
        </is>
      </c>
      <c r="H18" s="6" t="inlineStr">
        <is>
          <t>P. O'Brien</t>
        </is>
      </c>
      <c r="I18" s="6" t="inlineStr">
        <is>
          <t>Citibank NA</t>
        </is>
      </c>
      <c r="J18" s="6" t="inlineStr">
        <is>
          <t>Sell</t>
        </is>
      </c>
      <c r="K18" s="6" t="inlineStr">
        <is>
          <t>Spot</t>
        </is>
      </c>
      <c r="L18" s="7" t="n">
        <v>4650</v>
      </c>
      <c r="M18" s="6" t="inlineStr">
        <is>
          <t>lbs</t>
        </is>
      </c>
      <c r="N18" s="8" t="n">
        <v>4.1718</v>
      </c>
      <c r="O18" s="8" t="n">
        <v>4.1663</v>
      </c>
      <c r="P18" s="9" t="n">
        <v>19398.87</v>
      </c>
      <c r="Q18" s="6" t="inlineStr">
        <is>
          <t>Confirmed</t>
        </is>
      </c>
      <c r="R18" s="6">
        <f>IFERROR(DATEVALUE(C18)-DATEVALUE(B18),"N/A")</f>
        <v/>
      </c>
      <c r="S18" s="6">
        <f>IF(AND(N18&lt;&gt;"",O18&lt;&gt;""),IF(N18&gt;O18,"Above","At/Below"),"N/A")</f>
        <v/>
      </c>
    </row>
    <row r="19">
      <c r="A19" s="10" t="inlineStr">
        <is>
          <t>TRD-000018</t>
        </is>
      </c>
      <c r="B19" s="10" t="inlineStr">
        <is>
          <t>2024-10-30</t>
        </is>
      </c>
      <c r="C19" s="10" t="inlineStr">
        <is>
          <t>2024-11-04</t>
        </is>
      </c>
      <c r="D19" s="10" t="inlineStr">
        <is>
          <t>Zinc</t>
        </is>
      </c>
      <c r="E19" s="10" t="inlineStr">
        <is>
          <t>ZN</t>
        </is>
      </c>
      <c r="F19" s="10" t="inlineStr">
        <is>
          <t>Base Metals</t>
        </is>
      </c>
      <c r="G19" s="10" t="inlineStr">
        <is>
          <t>BM-HEDGE-01</t>
        </is>
      </c>
      <c r="H19" s="10" t="inlineStr">
        <is>
          <t>M. Patel</t>
        </is>
      </c>
      <c r="I19" s="10" t="inlineStr">
        <is>
          <t>Scotiabank</t>
        </is>
      </c>
      <c r="J19" s="10" t="inlineStr">
        <is>
          <t>Buy</t>
        </is>
      </c>
      <c r="K19" s="10" t="inlineStr">
        <is>
          <t>Forward</t>
        </is>
      </c>
      <c r="L19" s="11" t="n">
        <v>4675</v>
      </c>
      <c r="M19" s="10" t="inlineStr">
        <is>
          <t>MT</t>
        </is>
      </c>
      <c r="N19" s="12" t="n">
        <v>2804.4114</v>
      </c>
      <c r="O19" s="12" t="n">
        <v>2790.7669</v>
      </c>
      <c r="P19" s="13" t="n">
        <v>13110623.29</v>
      </c>
      <c r="Q19" s="10" t="inlineStr">
        <is>
          <t>Confirmed</t>
        </is>
      </c>
      <c r="R19" s="10">
        <f>IFERROR(DATEVALUE(C19)-DATEVALUE(B19),"N/A")</f>
        <v/>
      </c>
      <c r="S19" s="10">
        <f>IF(AND(N19&lt;&gt;"",O19&lt;&gt;""),IF(N19&gt;O19,"Above","At/Below"),"N/A")</f>
        <v/>
      </c>
    </row>
    <row r="20">
      <c r="A20" s="6" t="inlineStr">
        <is>
          <t>TRD-000019</t>
        </is>
      </c>
      <c r="B20" s="6" t="inlineStr">
        <is>
          <t>2024-06-27</t>
        </is>
      </c>
      <c r="C20" s="6" t="inlineStr">
        <is>
          <t>2024-06-29</t>
        </is>
      </c>
      <c r="D20" s="6" t="inlineStr">
        <is>
          <t>Aluminium</t>
        </is>
      </c>
      <c r="E20" s="6" t="inlineStr">
        <is>
          <t>AL</t>
        </is>
      </c>
      <c r="F20" s="6" t="inlineStr">
        <is>
          <t>Base Metals</t>
        </is>
      </c>
      <c r="G20" s="6" t="inlineStr">
        <is>
          <t>BM-PROP-01</t>
        </is>
      </c>
      <c r="H20" s="6" t="inlineStr">
        <is>
          <t>L. Chen</t>
        </is>
      </c>
      <c r="I20" s="6" t="inlineStr">
        <is>
          <t>HSBC Metals</t>
        </is>
      </c>
      <c r="J20" s="6" t="inlineStr">
        <is>
          <t>Buy</t>
        </is>
      </c>
      <c r="K20" s="6" t="inlineStr">
        <is>
          <t>Spot</t>
        </is>
      </c>
      <c r="L20" s="7" t="n">
        <v>2875</v>
      </c>
      <c r="M20" s="6" t="inlineStr">
        <is>
          <t>MT</t>
        </is>
      </c>
      <c r="N20" s="8" t="n">
        <v>2373.9821</v>
      </c>
      <c r="O20" s="8" t="n">
        <v>2374.1012</v>
      </c>
      <c r="P20" s="9" t="n">
        <v>6825198.54</v>
      </c>
      <c r="Q20" s="6" t="inlineStr">
        <is>
          <t>Confirmed</t>
        </is>
      </c>
      <c r="R20" s="6">
        <f>IFERROR(DATEVALUE(C20)-DATEVALUE(B20),"N/A")</f>
        <v/>
      </c>
      <c r="S20" s="6">
        <f>IF(AND(N20&lt;&gt;"",O20&lt;&gt;""),IF(N20&gt;O20,"Above","At/Below"),"N/A")</f>
        <v/>
      </c>
    </row>
    <row r="21">
      <c r="A21" s="10" t="inlineStr">
        <is>
          <t>TRD-000020</t>
        </is>
      </c>
      <c r="B21" s="10" t="inlineStr">
        <is>
          <t>2024-01-11</t>
        </is>
      </c>
      <c r="C21" s="10" t="inlineStr">
        <is>
          <t>2024-01-13</t>
        </is>
      </c>
      <c r="D21" s="10" t="inlineStr">
        <is>
          <t>Silver</t>
        </is>
      </c>
      <c r="E21" s="10" t="inlineStr">
        <is>
          <t>XAG</t>
        </is>
      </c>
      <c r="F21" s="10" t="inlineStr">
        <is>
          <t>Precious Metals</t>
        </is>
      </c>
      <c r="G21" s="10" t="inlineStr">
        <is>
          <t>PM-PROP-01</t>
        </is>
      </c>
      <c r="H21" s="10" t="inlineStr">
        <is>
          <t>L. Chen</t>
        </is>
      </c>
      <c r="I21" s="10" t="inlineStr">
        <is>
          <t>Deutsche Bank</t>
        </is>
      </c>
      <c r="J21" s="10" t="inlineStr">
        <is>
          <t>Buy</t>
        </is>
      </c>
      <c r="K21" s="10" t="inlineStr">
        <is>
          <t>Spot</t>
        </is>
      </c>
      <c r="L21" s="11" t="n">
        <v>43500</v>
      </c>
      <c r="M21" s="10" t="inlineStr">
        <is>
          <t>troy oz</t>
        </is>
      </c>
      <c r="N21" s="12" t="n">
        <v>29.7567</v>
      </c>
      <c r="O21" s="12" t="n">
        <v>29.7151</v>
      </c>
      <c r="P21" s="13" t="n">
        <v>1294416.45</v>
      </c>
      <c r="Q21" s="10" t="inlineStr">
        <is>
          <t>Settled</t>
        </is>
      </c>
      <c r="R21" s="10">
        <f>IFERROR(DATEVALUE(C21)-DATEVALUE(B21),"N/A")</f>
        <v/>
      </c>
      <c r="S21" s="10">
        <f>IF(AND(N21&lt;&gt;"",O21&lt;&gt;""),IF(N21&gt;O21,"Above","At/Below"),"N/A")</f>
        <v/>
      </c>
    </row>
    <row r="22">
      <c r="A22" s="6" t="inlineStr">
        <is>
          <t>TRD-000021</t>
        </is>
      </c>
      <c r="B22" s="6" t="inlineStr">
        <is>
          <t>2024-01-03</t>
        </is>
      </c>
      <c r="C22" s="6" t="inlineStr">
        <is>
          <t>2024-01-08</t>
        </is>
      </c>
      <c r="D22" s="6" t="inlineStr">
        <is>
          <t>Platinum</t>
        </is>
      </c>
      <c r="E22" s="6" t="inlineStr">
        <is>
          <t>XPT</t>
        </is>
      </c>
      <c r="F22" s="6" t="inlineStr">
        <is>
          <t>Precious Metals</t>
        </is>
      </c>
      <c r="G22" s="6" t="inlineStr">
        <is>
          <t>PM-HEDGE-01</t>
        </is>
      </c>
      <c r="H22" s="6" t="inlineStr">
        <is>
          <t>T. Vasquez</t>
        </is>
      </c>
      <c r="I22" s="6" t="inlineStr">
        <is>
          <t>Standard Chartered</t>
        </is>
      </c>
      <c r="J22" s="6" t="inlineStr">
        <is>
          <t>Sell</t>
        </is>
      </c>
      <c r="K22" s="6" t="inlineStr">
        <is>
          <t>Spot</t>
        </is>
      </c>
      <c r="L22" s="7" t="n">
        <v>40200</v>
      </c>
      <c r="M22" s="6" t="inlineStr">
        <is>
          <t>troy oz</t>
        </is>
      </c>
      <c r="N22" s="8" t="n">
        <v>959.7423</v>
      </c>
      <c r="O22" s="8" t="n">
        <v>956.9899</v>
      </c>
      <c r="P22" s="9" t="n">
        <v>38581640.46</v>
      </c>
      <c r="Q22" s="6" t="inlineStr">
        <is>
          <t>Confirmed</t>
        </is>
      </c>
      <c r="R22" s="6">
        <f>IFERROR(DATEVALUE(C22)-DATEVALUE(B22),"N/A")</f>
        <v/>
      </c>
      <c r="S22" s="6">
        <f>IF(AND(N22&lt;&gt;"",O22&lt;&gt;""),IF(N22&gt;O22,"Above","At/Below"),"N/A")</f>
        <v/>
      </c>
    </row>
    <row r="23">
      <c r="A23" s="10" t="inlineStr">
        <is>
          <t>TRD-000022</t>
        </is>
      </c>
      <c r="B23" s="10" t="inlineStr">
        <is>
          <t>2024-02-14</t>
        </is>
      </c>
      <c r="C23" s="10" t="inlineStr">
        <is>
          <t>2024-05-14</t>
        </is>
      </c>
      <c r="D23" s="10" t="inlineStr">
        <is>
          <t>Palladium</t>
        </is>
      </c>
      <c r="E23" s="10" t="inlineStr">
        <is>
          <t>XPD</t>
        </is>
      </c>
      <c r="F23" s="10" t="inlineStr">
        <is>
          <t>Precious Metals</t>
        </is>
      </c>
      <c r="G23" s="10" t="inlineStr">
        <is>
          <t>PM-PROP-01</t>
        </is>
      </c>
      <c r="H23" s="10" t="inlineStr">
        <is>
          <t>S. Okonkwo</t>
        </is>
      </c>
      <c r="I23" s="10" t="inlineStr">
        <is>
          <t>Scotiabank</t>
        </is>
      </c>
      <c r="J23" s="10" t="inlineStr">
        <is>
          <t>Sell</t>
        </is>
      </c>
      <c r="K23" s="10" t="inlineStr">
        <is>
          <t>Forward</t>
        </is>
      </c>
      <c r="L23" s="11" t="n">
        <v>2600</v>
      </c>
      <c r="M23" s="10" t="inlineStr">
        <is>
          <t>troy oz</t>
        </is>
      </c>
      <c r="N23" s="12" t="n">
        <v>1034.5183</v>
      </c>
      <c r="O23" s="12" t="n">
        <v>1030.4285</v>
      </c>
      <c r="P23" s="13" t="n">
        <v>2689747.58</v>
      </c>
      <c r="Q23" s="10" t="inlineStr">
        <is>
          <t>Cancelled</t>
        </is>
      </c>
      <c r="R23" s="10">
        <f>IFERROR(DATEVALUE(C23)-DATEVALUE(B23),"N/A")</f>
        <v/>
      </c>
      <c r="S23" s="10">
        <f>IF(AND(N23&lt;&gt;"",O23&lt;&gt;""),IF(N23&gt;O23,"Above","At/Below"),"N/A")</f>
        <v/>
      </c>
    </row>
    <row r="24">
      <c r="A24" s="6" t="inlineStr">
        <is>
          <t>TRD-000023</t>
        </is>
      </c>
      <c r="B24" s="6" t="inlineStr">
        <is>
          <t>2024-02-20</t>
        </is>
      </c>
      <c r="C24" s="6" t="inlineStr">
        <is>
          <t>2024-03-21</t>
        </is>
      </c>
      <c r="D24" s="6" t="inlineStr">
        <is>
          <t>Silver</t>
        </is>
      </c>
      <c r="E24" s="6" t="inlineStr">
        <is>
          <t>XAG</t>
        </is>
      </c>
      <c r="F24" s="6" t="inlineStr">
        <is>
          <t>Precious Metals</t>
        </is>
      </c>
      <c r="G24" s="6" t="inlineStr">
        <is>
          <t>PM-PROP-01</t>
        </is>
      </c>
      <c r="H24" s="6" t="inlineStr">
        <is>
          <t>L. Chen</t>
        </is>
      </c>
      <c r="I24" s="6" t="inlineStr">
        <is>
          <t>Goldman Sachs</t>
        </is>
      </c>
      <c r="J24" s="6" t="inlineStr">
        <is>
          <t>Buy</t>
        </is>
      </c>
      <c r="K24" s="6" t="inlineStr">
        <is>
          <t>Spot</t>
        </is>
      </c>
      <c r="L24" s="7" t="n">
        <v>44200</v>
      </c>
      <c r="M24" s="6" t="inlineStr">
        <is>
          <t>troy oz</t>
        </is>
      </c>
      <c r="N24" s="8" t="n">
        <v>27.3939</v>
      </c>
      <c r="O24" s="8" t="n">
        <v>27.2687</v>
      </c>
      <c r="P24" s="9" t="n">
        <v>1210810.38</v>
      </c>
      <c r="Q24" s="6" t="inlineStr">
        <is>
          <t>Confirmed</t>
        </is>
      </c>
      <c r="R24" s="6">
        <f>IFERROR(DATEVALUE(C24)-DATEVALUE(B24),"N/A")</f>
        <v/>
      </c>
      <c r="S24" s="6">
        <f>IF(AND(N24&lt;&gt;"",O24&lt;&gt;""),IF(N24&gt;O24,"Above","At/Below"),"N/A")</f>
        <v/>
      </c>
    </row>
    <row r="25">
      <c r="A25" s="10" t="inlineStr">
        <is>
          <t>TRD-000024</t>
        </is>
      </c>
      <c r="B25" s="10" t="inlineStr">
        <is>
          <t>2024-08-14</t>
        </is>
      </c>
      <c r="C25" s="10" t="inlineStr">
        <is>
          <t>2024-08-16</t>
        </is>
      </c>
      <c r="D25" s="10" t="inlineStr">
        <is>
          <t>Silver</t>
        </is>
      </c>
      <c r="E25" s="10" t="inlineStr">
        <is>
          <t>XAG</t>
        </is>
      </c>
      <c r="F25" s="10" t="inlineStr">
        <is>
          <t>Precious Metals</t>
        </is>
      </c>
      <c r="G25" s="10" t="inlineStr">
        <is>
          <t>PM-HEDGE-01</t>
        </is>
      </c>
      <c r="H25" s="10" t="inlineStr">
        <is>
          <t>A. Dubois</t>
        </is>
      </c>
      <c r="I25" s="10" t="inlineStr">
        <is>
          <t>TD Securities</t>
        </is>
      </c>
      <c r="J25" s="10" t="inlineStr">
        <is>
          <t>Sell</t>
        </is>
      </c>
      <c r="K25" s="10" t="inlineStr">
        <is>
          <t>Spot</t>
        </is>
      </c>
      <c r="L25" s="11" t="n">
        <v>36700</v>
      </c>
      <c r="M25" s="10" t="inlineStr">
        <is>
          <t>troy oz</t>
        </is>
      </c>
      <c r="N25" s="12" t="n">
        <v>27.6784</v>
      </c>
      <c r="O25" s="12" t="n">
        <v>27.6571</v>
      </c>
      <c r="P25" s="13" t="n">
        <v>1015797.28</v>
      </c>
      <c r="Q25" s="10" t="inlineStr">
        <is>
          <t>Confirmed</t>
        </is>
      </c>
      <c r="R25" s="10">
        <f>IFERROR(DATEVALUE(C25)-DATEVALUE(B25),"N/A")</f>
        <v/>
      </c>
      <c r="S25" s="10">
        <f>IF(AND(N25&lt;&gt;"",O25&lt;&gt;""),IF(N25&gt;O25,"Above","At/Below"),"N/A")</f>
        <v/>
      </c>
    </row>
    <row r="26">
      <c r="A26" s="6" t="inlineStr">
        <is>
          <t>TRD-000025</t>
        </is>
      </c>
      <c r="B26" s="6" t="inlineStr">
        <is>
          <t>2024-11-25</t>
        </is>
      </c>
      <c r="C26" s="6" t="inlineStr">
        <is>
          <t>2024-12-25</t>
        </is>
      </c>
      <c r="D26" s="6" t="inlineStr">
        <is>
          <t>Silver</t>
        </is>
      </c>
      <c r="E26" s="6" t="inlineStr">
        <is>
          <t>XAG</t>
        </is>
      </c>
      <c r="F26" s="6" t="inlineStr">
        <is>
          <t>Precious Metals</t>
        </is>
      </c>
      <c r="G26" s="6" t="inlineStr">
        <is>
          <t>PM-PROP-01</t>
        </is>
      </c>
      <c r="H26" s="6" t="inlineStr">
        <is>
          <t>S. Okonkwo</t>
        </is>
      </c>
      <c r="I26" s="6" t="inlineStr">
        <is>
          <t>UBS AG</t>
        </is>
      </c>
      <c r="J26" s="6" t="inlineStr">
        <is>
          <t>Buy</t>
        </is>
      </c>
      <c r="K26" s="6" t="inlineStr">
        <is>
          <t>Forward</t>
        </is>
      </c>
      <c r="L26" s="7" t="n">
        <v>5200</v>
      </c>
      <c r="M26" s="6" t="inlineStr">
        <is>
          <t>troy oz</t>
        </is>
      </c>
      <c r="N26" s="8" t="n">
        <v>29.9667</v>
      </c>
      <c r="O26" s="8" t="n">
        <v>29.9206</v>
      </c>
      <c r="P26" s="9" t="n">
        <v>155826.84</v>
      </c>
      <c r="Q26" s="6" t="inlineStr">
        <is>
          <t>Settled</t>
        </is>
      </c>
      <c r="R26" s="6">
        <f>IFERROR(DATEVALUE(C26)-DATEVALUE(B26),"N/A")</f>
        <v/>
      </c>
      <c r="S26" s="6">
        <f>IF(AND(N26&lt;&gt;"",O26&lt;&gt;""),IF(N26&gt;O26,"Above","At/Below"),"N/A")</f>
        <v/>
      </c>
    </row>
    <row r="27">
      <c r="A27" s="10" t="inlineStr">
        <is>
          <t>TRD-000026</t>
        </is>
      </c>
      <c r="B27" s="10" t="inlineStr">
        <is>
          <t>2024-07-23</t>
        </is>
      </c>
      <c r="C27" s="10" t="inlineStr">
        <is>
          <t>2024-07-25</t>
        </is>
      </c>
      <c r="D27" s="10" t="inlineStr">
        <is>
          <t>Palladium</t>
        </is>
      </c>
      <c r="E27" s="10" t="inlineStr">
        <is>
          <t>XPD</t>
        </is>
      </c>
      <c r="F27" s="10" t="inlineStr">
        <is>
          <t>Precious Metals</t>
        </is>
      </c>
      <c r="G27" s="10" t="inlineStr">
        <is>
          <t>PM-HEDGE-01</t>
        </is>
      </c>
      <c r="H27" s="10" t="inlineStr">
        <is>
          <t>J. Kowalski</t>
        </is>
      </c>
      <c r="I27" s="10" t="inlineStr">
        <is>
          <t>Morgan Stanley</t>
        </is>
      </c>
      <c r="J27" s="10" t="inlineStr">
        <is>
          <t>Sell</t>
        </is>
      </c>
      <c r="K27" s="10" t="inlineStr">
        <is>
          <t>Forward</t>
        </is>
      </c>
      <c r="L27" s="11" t="n">
        <v>27900</v>
      </c>
      <c r="M27" s="10" t="inlineStr">
        <is>
          <t>troy oz</t>
        </is>
      </c>
      <c r="N27" s="12" t="n">
        <v>1048.6337</v>
      </c>
      <c r="O27" s="12" t="n">
        <v>1043.5094</v>
      </c>
      <c r="P27" s="13" t="n">
        <v>29256880.23</v>
      </c>
      <c r="Q27" s="10" t="inlineStr">
        <is>
          <t>Settled</t>
        </is>
      </c>
      <c r="R27" s="10">
        <f>IFERROR(DATEVALUE(C27)-DATEVALUE(B27),"N/A")</f>
        <v/>
      </c>
      <c r="S27" s="10">
        <f>IF(AND(N27&lt;&gt;"",O27&lt;&gt;""),IF(N27&gt;O27,"Above","At/Below"),"N/A")</f>
        <v/>
      </c>
    </row>
    <row r="28">
      <c r="A28" s="6" t="inlineStr">
        <is>
          <t>TRD-000027</t>
        </is>
      </c>
      <c r="B28" s="6" t="inlineStr">
        <is>
          <t>2024-03-15</t>
        </is>
      </c>
      <c r="C28" s="6" t="inlineStr">
        <is>
          <t>2024-03-17</t>
        </is>
      </c>
      <c r="D28" s="6" t="inlineStr">
        <is>
          <t>Copper</t>
        </is>
      </c>
      <c r="E28" s="6" t="inlineStr">
        <is>
          <t>HG</t>
        </is>
      </c>
      <c r="F28" s="6" t="inlineStr">
        <is>
          <t>Base Metals</t>
        </is>
      </c>
      <c r="G28" s="6" t="inlineStr">
        <is>
          <t>BM-CLIENT-01</t>
        </is>
      </c>
      <c r="H28" s="6" t="inlineStr">
        <is>
          <t>R. Nakamura</t>
        </is>
      </c>
      <c r="I28" s="6" t="inlineStr">
        <is>
          <t>Citibank NA</t>
        </is>
      </c>
      <c r="J28" s="6" t="inlineStr">
        <is>
          <t>Buy</t>
        </is>
      </c>
      <c r="K28" s="6" t="inlineStr">
        <is>
          <t>Spot</t>
        </is>
      </c>
      <c r="L28" s="7" t="n">
        <v>700</v>
      </c>
      <c r="M28" s="6" t="inlineStr">
        <is>
          <t>lbs</t>
        </is>
      </c>
      <c r="N28" s="8" t="n">
        <v>4.0614</v>
      </c>
      <c r="O28" s="8" t="n">
        <v>4.0523</v>
      </c>
      <c r="P28" s="9" t="n">
        <v>2842.98</v>
      </c>
      <c r="Q28" s="6" t="inlineStr">
        <is>
          <t>Pending</t>
        </is>
      </c>
      <c r="R28" s="6">
        <f>IFERROR(DATEVALUE(C28)-DATEVALUE(B28),"N/A")</f>
        <v/>
      </c>
      <c r="S28" s="6">
        <f>IF(AND(N28&lt;&gt;"",O28&lt;&gt;""),IF(N28&gt;O28,"Above","At/Below"),"N/A")</f>
        <v/>
      </c>
    </row>
    <row r="29">
      <c r="A29" s="10" t="inlineStr">
        <is>
          <t>TRD-000028</t>
        </is>
      </c>
      <c r="B29" s="10" t="inlineStr">
        <is>
          <t>2024-12-17</t>
        </is>
      </c>
      <c r="C29" s="10" t="inlineStr">
        <is>
          <t>2024-12-19</t>
        </is>
      </c>
      <c r="D29" s="10" t="inlineStr">
        <is>
          <t>Copper</t>
        </is>
      </c>
      <c r="E29" s="10" t="inlineStr">
        <is>
          <t>HG</t>
        </is>
      </c>
      <c r="F29" s="10" t="inlineStr">
        <is>
          <t>Base Metals</t>
        </is>
      </c>
      <c r="G29" s="10" t="inlineStr">
        <is>
          <t>BM-CLIENT-01</t>
        </is>
      </c>
      <c r="H29" s="10" t="inlineStr">
        <is>
          <t>J. Kowalski</t>
        </is>
      </c>
      <c r="I29" s="10" t="inlineStr">
        <is>
          <t>Scotiabank</t>
        </is>
      </c>
      <c r="J29" s="10" t="inlineStr">
        <is>
          <t>Buy</t>
        </is>
      </c>
      <c r="K29" s="10" t="inlineStr">
        <is>
          <t>Forward</t>
        </is>
      </c>
      <c r="L29" s="11" t="n">
        <v>350</v>
      </c>
      <c r="M29" s="10" t="inlineStr">
        <is>
          <t>lbs</t>
        </is>
      </c>
      <c r="N29" s="12" t="n">
        <v>4.3346</v>
      </c>
      <c r="O29" s="12" t="n">
        <v>4.3182</v>
      </c>
      <c r="P29" s="13" t="n">
        <v>1517.11</v>
      </c>
      <c r="Q29" s="10" t="inlineStr">
        <is>
          <t>Confirmed</t>
        </is>
      </c>
      <c r="R29" s="10">
        <f>IFERROR(DATEVALUE(C29)-DATEVALUE(B29),"N/A")</f>
        <v/>
      </c>
      <c r="S29" s="10">
        <f>IF(AND(N29&lt;&gt;"",O29&lt;&gt;""),IF(N29&gt;O29,"Above","At/Below"),"N/A")</f>
        <v/>
      </c>
    </row>
    <row r="30">
      <c r="A30" s="6" t="inlineStr">
        <is>
          <t>TRD-000029</t>
        </is>
      </c>
      <c r="B30" s="6" t="inlineStr">
        <is>
          <t>2024-07-08</t>
        </is>
      </c>
      <c r="C30" s="6" t="inlineStr">
        <is>
          <t>2024-07-10</t>
        </is>
      </c>
      <c r="D30" s="6" t="inlineStr">
        <is>
          <t>Platinum</t>
        </is>
      </c>
      <c r="E30" s="6" t="inlineStr">
        <is>
          <t>XPT</t>
        </is>
      </c>
      <c r="F30" s="6" t="inlineStr">
        <is>
          <t>Precious Metals</t>
        </is>
      </c>
      <c r="G30" s="6" t="inlineStr">
        <is>
          <t>PM-CLIENT-01</t>
        </is>
      </c>
      <c r="H30" s="6" t="inlineStr">
        <is>
          <t>S. Okonkwo</t>
        </is>
      </c>
      <c r="I30" s="6" t="inlineStr">
        <is>
          <t>Barclays Metals</t>
        </is>
      </c>
      <c r="J30" s="6" t="inlineStr">
        <is>
          <t>Sell</t>
        </is>
      </c>
      <c r="K30" s="6" t="inlineStr">
        <is>
          <t>Forward</t>
        </is>
      </c>
      <c r="L30" s="7" t="n">
        <v>28300</v>
      </c>
      <c r="M30" s="6" t="inlineStr">
        <is>
          <t>troy oz</t>
        </is>
      </c>
      <c r="N30" s="8" t="n">
        <v>1002.4193</v>
      </c>
      <c r="O30" s="8" t="n">
        <v>1003.6406</v>
      </c>
      <c r="P30" s="9" t="n">
        <v>28368466.19</v>
      </c>
      <c r="Q30" s="6" t="inlineStr">
        <is>
          <t>Confirmed</t>
        </is>
      </c>
      <c r="R30" s="6">
        <f>IFERROR(DATEVALUE(C30)-DATEVALUE(B30),"N/A")</f>
        <v/>
      </c>
      <c r="S30" s="6">
        <f>IF(AND(N30&lt;&gt;"",O30&lt;&gt;""),IF(N30&gt;O30,"Above","At/Below"),"N/A")</f>
        <v/>
      </c>
    </row>
    <row r="31">
      <c r="A31" s="10" t="inlineStr">
        <is>
          <t>TRD-000030</t>
        </is>
      </c>
      <c r="B31" s="10" t="inlineStr">
        <is>
          <t>2024-04-16</t>
        </is>
      </c>
      <c r="C31" s="10" t="inlineStr">
        <is>
          <t>2024-04-21</t>
        </is>
      </c>
      <c r="D31" s="10" t="inlineStr">
        <is>
          <t>Aluminium</t>
        </is>
      </c>
      <c r="E31" s="10" t="inlineStr">
        <is>
          <t>AL</t>
        </is>
      </c>
      <c r="F31" s="10" t="inlineStr">
        <is>
          <t>Base Metals</t>
        </is>
      </c>
      <c r="G31" s="10" t="inlineStr">
        <is>
          <t>BM-CLIENT-01</t>
        </is>
      </c>
      <c r="H31" s="10" t="inlineStr">
        <is>
          <t>J. Kowalski</t>
        </is>
      </c>
      <c r="I31" s="10" t="inlineStr">
        <is>
          <t>UBS AG</t>
        </is>
      </c>
      <c r="J31" s="10" t="inlineStr">
        <is>
          <t>Sell</t>
        </is>
      </c>
      <c r="K31" s="10" t="inlineStr">
        <is>
          <t>Option</t>
        </is>
      </c>
      <c r="L31" s="11" t="n">
        <v>1975</v>
      </c>
      <c r="M31" s="10" t="inlineStr">
        <is>
          <t>MT</t>
        </is>
      </c>
      <c r="N31" s="12" t="n">
        <v>2367.1516</v>
      </c>
      <c r="O31" s="12" t="n">
        <v>2358.7242</v>
      </c>
      <c r="P31" s="13" t="n">
        <v>4675124.41</v>
      </c>
      <c r="Q31" s="10" t="inlineStr">
        <is>
          <t>Confirmed</t>
        </is>
      </c>
      <c r="R31" s="10">
        <f>IFERROR(DATEVALUE(C31)-DATEVALUE(B31),"N/A")</f>
        <v/>
      </c>
      <c r="S31" s="10">
        <f>IF(AND(N31&lt;&gt;"",O31&lt;&gt;""),IF(N31&gt;O31,"Above","At/Below"),"N/A")</f>
        <v/>
      </c>
    </row>
    <row r="32">
      <c r="A32" s="6" t="inlineStr">
        <is>
          <t>TRD-000031</t>
        </is>
      </c>
      <c r="B32" s="6" t="inlineStr">
        <is>
          <t>2024-03-14</t>
        </is>
      </c>
      <c r="C32" s="6" t="inlineStr">
        <is>
          <t>2024-03-16</t>
        </is>
      </c>
      <c r="D32" s="6" t="inlineStr">
        <is>
          <t>Palladium</t>
        </is>
      </c>
      <c r="E32" s="6" t="inlineStr">
        <is>
          <t>XPD</t>
        </is>
      </c>
      <c r="F32" s="6" t="inlineStr">
        <is>
          <t>Precious Metals</t>
        </is>
      </c>
      <c r="G32" s="6" t="inlineStr">
        <is>
          <t>PM-CLIENT-01</t>
        </is>
      </c>
      <c r="H32" s="6" t="inlineStr">
        <is>
          <t>L. Chen</t>
        </is>
      </c>
      <c r="I32" s="6" t="inlineStr">
        <is>
          <t>Standard Chartered</t>
        </is>
      </c>
      <c r="J32" s="6" t="inlineStr">
        <is>
          <t>Sell</t>
        </is>
      </c>
      <c r="K32" s="6" t="inlineStr">
        <is>
          <t>Swap</t>
        </is>
      </c>
      <c r="L32" s="7" t="n">
        <v>45300</v>
      </c>
      <c r="M32" s="6" t="inlineStr">
        <is>
          <t>troy oz</t>
        </is>
      </c>
      <c r="N32" s="8" t="n">
        <v>1082.9163</v>
      </c>
      <c r="O32" s="8" t="n">
        <v>1079.4122</v>
      </c>
      <c r="P32" s="9" t="n">
        <v>49056108.39</v>
      </c>
      <c r="Q32" s="6" t="inlineStr">
        <is>
          <t>Cancelled</t>
        </is>
      </c>
      <c r="R32" s="6">
        <f>IFERROR(DATEVALUE(C32)-DATEVALUE(B32),"N/A")</f>
        <v/>
      </c>
      <c r="S32" s="6">
        <f>IF(AND(N32&lt;&gt;"",O32&lt;&gt;""),IF(N32&gt;O32,"Above","At/Below"),"N/A")</f>
        <v/>
      </c>
    </row>
    <row r="33">
      <c r="A33" s="10" t="inlineStr">
        <is>
          <t>TRD-000032</t>
        </is>
      </c>
      <c r="B33" s="10" t="inlineStr">
        <is>
          <t>2024-01-18</t>
        </is>
      </c>
      <c r="C33" s="10" t="inlineStr">
        <is>
          <t>2024-01-20</t>
        </is>
      </c>
      <c r="D33" s="10" t="inlineStr">
        <is>
          <t>Platinum</t>
        </is>
      </c>
      <c r="E33" s="10" t="inlineStr">
        <is>
          <t>XPT</t>
        </is>
      </c>
      <c r="F33" s="10" t="inlineStr">
        <is>
          <t>Precious Metals</t>
        </is>
      </c>
      <c r="G33" s="10" t="inlineStr">
        <is>
          <t>PM-HEDGE-01</t>
        </is>
      </c>
      <c r="H33" s="10" t="inlineStr">
        <is>
          <t>L. Chen</t>
        </is>
      </c>
      <c r="I33" s="10" t="inlineStr">
        <is>
          <t>JPMorgan Commodities</t>
        </is>
      </c>
      <c r="J33" s="10" t="inlineStr">
        <is>
          <t>Sell</t>
        </is>
      </c>
      <c r="K33" s="10" t="inlineStr">
        <is>
          <t>Option</t>
        </is>
      </c>
      <c r="L33" s="11" t="n">
        <v>17100</v>
      </c>
      <c r="M33" s="10" t="inlineStr">
        <is>
          <t>troy oz</t>
        </is>
      </c>
      <c r="N33" s="12" t="n">
        <v>1007.2446</v>
      </c>
      <c r="O33" s="12" t="n">
        <v>1003.1833</v>
      </c>
      <c r="P33" s="13" t="n">
        <v>17223882.66</v>
      </c>
      <c r="Q33" s="10" t="inlineStr">
        <is>
          <t>Confirmed</t>
        </is>
      </c>
      <c r="R33" s="10">
        <f>IFERROR(DATEVALUE(C33)-DATEVALUE(B33),"N/A")</f>
        <v/>
      </c>
      <c r="S33" s="10">
        <f>IF(AND(N33&lt;&gt;"",O33&lt;&gt;""),IF(N33&gt;O33,"Above","At/Below"),"N/A")</f>
        <v/>
      </c>
    </row>
    <row r="34">
      <c r="A34" s="6" t="inlineStr">
        <is>
          <t>TRD-000033</t>
        </is>
      </c>
      <c r="B34" s="6" t="inlineStr">
        <is>
          <t>2024-01-29</t>
        </is>
      </c>
      <c r="C34" s="6" t="inlineStr">
        <is>
          <t>2024-02-03</t>
        </is>
      </c>
      <c r="D34" s="6" t="inlineStr">
        <is>
          <t>Silver</t>
        </is>
      </c>
      <c r="E34" s="6" t="inlineStr">
        <is>
          <t>XAG</t>
        </is>
      </c>
      <c r="F34" s="6" t="inlineStr">
        <is>
          <t>Precious Metals</t>
        </is>
      </c>
      <c r="G34" s="6" t="inlineStr">
        <is>
          <t>PM-HEDGE-01</t>
        </is>
      </c>
      <c r="H34" s="6" t="inlineStr">
        <is>
          <t>L. Chen</t>
        </is>
      </c>
      <c r="I34" s="6" t="inlineStr">
        <is>
          <t>Citibank NA</t>
        </is>
      </c>
      <c r="J34" s="6" t="inlineStr">
        <is>
          <t>Sell</t>
        </is>
      </c>
      <c r="K34" s="6" t="inlineStr">
        <is>
          <t>Spot</t>
        </is>
      </c>
      <c r="L34" s="7" t="n">
        <v>41900</v>
      </c>
      <c r="M34" s="6" t="inlineStr">
        <is>
          <t>troy oz</t>
        </is>
      </c>
      <c r="N34" s="8" t="n">
        <v>27.8126</v>
      </c>
      <c r="O34" s="8" t="n">
        <v>27.7089</v>
      </c>
      <c r="P34" s="9" t="n">
        <v>1165347.94</v>
      </c>
      <c r="Q34" s="6" t="inlineStr">
        <is>
          <t>Confirmed</t>
        </is>
      </c>
      <c r="R34" s="6">
        <f>IFERROR(DATEVALUE(C34)-DATEVALUE(B34),"N/A")</f>
        <v/>
      </c>
      <c r="S34" s="6">
        <f>IF(AND(N34&lt;&gt;"",O34&lt;&gt;""),IF(N34&gt;O34,"Above","At/Below"),"N/A")</f>
        <v/>
      </c>
    </row>
    <row r="35">
      <c r="A35" s="10" t="inlineStr">
        <is>
          <t>TRD-000034</t>
        </is>
      </c>
      <c r="B35" s="10" t="inlineStr">
        <is>
          <t>2024-08-23</t>
        </is>
      </c>
      <c r="C35" s="10" t="inlineStr">
        <is>
          <t>2024-08-25</t>
        </is>
      </c>
      <c r="D35" s="10" t="inlineStr">
        <is>
          <t>Palladium</t>
        </is>
      </c>
      <c r="E35" s="10" t="inlineStr">
        <is>
          <t>XPD</t>
        </is>
      </c>
      <c r="F35" s="10" t="inlineStr">
        <is>
          <t>Precious Metals</t>
        </is>
      </c>
      <c r="G35" s="10" t="inlineStr">
        <is>
          <t>PM-HEDGE-01</t>
        </is>
      </c>
      <c r="H35" s="10" t="inlineStr">
        <is>
          <t>R. Nakamura</t>
        </is>
      </c>
      <c r="I35" s="10" t="inlineStr">
        <is>
          <t>Scotiabank</t>
        </is>
      </c>
      <c r="J35" s="10" t="inlineStr">
        <is>
          <t>Sell</t>
        </is>
      </c>
      <c r="K35" s="10" t="inlineStr">
        <is>
          <t>Spot</t>
        </is>
      </c>
      <c r="L35" s="11" t="n">
        <v>49600</v>
      </c>
      <c r="M35" s="10" t="inlineStr">
        <is>
          <t>troy oz</t>
        </is>
      </c>
      <c r="N35" s="12" t="n">
        <v>1089.9611</v>
      </c>
      <c r="O35" s="12" t="n">
        <v>1088.2571</v>
      </c>
      <c r="P35" s="13" t="n">
        <v>54062070.56</v>
      </c>
      <c r="Q35" s="10" t="inlineStr">
        <is>
          <t>Confirmed</t>
        </is>
      </c>
      <c r="R35" s="10">
        <f>IFERROR(DATEVALUE(C35)-DATEVALUE(B35),"N/A")</f>
        <v/>
      </c>
      <c r="S35" s="10">
        <f>IF(AND(N35&lt;&gt;"",O35&lt;&gt;""),IF(N35&gt;O35,"Above","At/Below"),"N/A")</f>
        <v/>
      </c>
    </row>
    <row r="36">
      <c r="A36" s="6" t="inlineStr">
        <is>
          <t>TRD-000035</t>
        </is>
      </c>
      <c r="B36" s="6" t="inlineStr">
        <is>
          <t>2024-07-09</t>
        </is>
      </c>
      <c r="C36" s="6" t="inlineStr">
        <is>
          <t>2024-07-11</t>
        </is>
      </c>
      <c r="D36" s="6" t="inlineStr">
        <is>
          <t>Copper</t>
        </is>
      </c>
      <c r="E36" s="6" t="inlineStr">
        <is>
          <t>HG</t>
        </is>
      </c>
      <c r="F36" s="6" t="inlineStr">
        <is>
          <t>Base Metals</t>
        </is>
      </c>
      <c r="G36" s="6" t="inlineStr">
        <is>
          <t>BM-PROP-01</t>
        </is>
      </c>
      <c r="H36" s="6" t="inlineStr">
        <is>
          <t>M. Patel</t>
        </is>
      </c>
      <c r="I36" s="6" t="inlineStr">
        <is>
          <t>Deutsche Bank</t>
        </is>
      </c>
      <c r="J36" s="6" t="inlineStr">
        <is>
          <t>Sell</t>
        </is>
      </c>
      <c r="K36" s="6" t="inlineStr">
        <is>
          <t>Forward</t>
        </is>
      </c>
      <c r="L36" s="7" t="n">
        <v>2800</v>
      </c>
      <c r="M36" s="6" t="inlineStr">
        <is>
          <t>lbs</t>
        </is>
      </c>
      <c r="N36" s="8" t="n">
        <v>3.9883</v>
      </c>
      <c r="O36" s="8" t="n">
        <v>3.9875</v>
      </c>
      <c r="P36" s="9" t="n">
        <v>11167.24</v>
      </c>
      <c r="Q36" s="6" t="inlineStr">
        <is>
          <t>Settled</t>
        </is>
      </c>
      <c r="R36" s="6">
        <f>IFERROR(DATEVALUE(C36)-DATEVALUE(B36),"N/A")</f>
        <v/>
      </c>
      <c r="S36" s="6">
        <f>IF(AND(N36&lt;&gt;"",O36&lt;&gt;""),IF(N36&gt;O36,"Above","At/Below"),"N/A")</f>
        <v/>
      </c>
    </row>
    <row r="37">
      <c r="A37" s="10" t="inlineStr">
        <is>
          <t>TRD-000036</t>
        </is>
      </c>
      <c r="B37" s="10" t="inlineStr">
        <is>
          <t>2024-02-01</t>
        </is>
      </c>
      <c r="C37" s="10" t="inlineStr">
        <is>
          <t>2024-05-01</t>
        </is>
      </c>
      <c r="D37" s="10" t="inlineStr">
        <is>
          <t>Palladium</t>
        </is>
      </c>
      <c r="E37" s="10" t="inlineStr">
        <is>
          <t>XPD</t>
        </is>
      </c>
      <c r="F37" s="10" t="inlineStr">
        <is>
          <t>Precious Metals</t>
        </is>
      </c>
      <c r="G37" s="10" t="inlineStr">
        <is>
          <t>PM-HEDGE-01</t>
        </is>
      </c>
      <c r="H37" s="10" t="inlineStr">
        <is>
          <t>R. Nakamura</t>
        </is>
      </c>
      <c r="I37" s="10" t="inlineStr">
        <is>
          <t>Goldman Sachs</t>
        </is>
      </c>
      <c r="J37" s="10" t="inlineStr">
        <is>
          <t>Buy</t>
        </is>
      </c>
      <c r="K37" s="10" t="inlineStr">
        <is>
          <t>Spot</t>
        </is>
      </c>
      <c r="L37" s="11" t="n">
        <v>26700</v>
      </c>
      <c r="M37" s="10" t="inlineStr">
        <is>
          <t>troy oz</t>
        </is>
      </c>
      <c r="N37" s="12" t="n">
        <v>1041.7104</v>
      </c>
      <c r="O37" s="12" t="n">
        <v>1043.286</v>
      </c>
      <c r="P37" s="13" t="n">
        <v>27813667.68</v>
      </c>
      <c r="Q37" s="10" t="inlineStr">
        <is>
          <t>Confirmed</t>
        </is>
      </c>
      <c r="R37" s="10">
        <f>IFERROR(DATEVALUE(C37)-DATEVALUE(B37),"N/A")</f>
        <v/>
      </c>
      <c r="S37" s="10">
        <f>IF(AND(N37&lt;&gt;"",O37&lt;&gt;""),IF(N37&gt;O37,"Above","At/Below"),"N/A")</f>
        <v/>
      </c>
    </row>
    <row r="38">
      <c r="A38" s="6" t="inlineStr">
        <is>
          <t>TRD-000037</t>
        </is>
      </c>
      <c r="B38" s="6" t="inlineStr">
        <is>
          <t>2024-08-02</t>
        </is>
      </c>
      <c r="C38" s="6" t="inlineStr">
        <is>
          <t>2024-09-01</t>
        </is>
      </c>
      <c r="D38" s="6" t="inlineStr">
        <is>
          <t>Silver</t>
        </is>
      </c>
      <c r="E38" s="6" t="inlineStr">
        <is>
          <t>XAG</t>
        </is>
      </c>
      <c r="F38" s="6" t="inlineStr">
        <is>
          <t>Precious Metals</t>
        </is>
      </c>
      <c r="G38" s="6" t="inlineStr">
        <is>
          <t>PM-CLIENT-01</t>
        </is>
      </c>
      <c r="H38" s="6" t="inlineStr">
        <is>
          <t>S. Okonkwo</t>
        </is>
      </c>
      <c r="I38" s="6" t="inlineStr">
        <is>
          <t>Citibank NA</t>
        </is>
      </c>
      <c r="J38" s="6" t="inlineStr">
        <is>
          <t>Sell</t>
        </is>
      </c>
      <c r="K38" s="6" t="inlineStr">
        <is>
          <t>Spot</t>
        </is>
      </c>
      <c r="L38" s="7" t="n">
        <v>21000</v>
      </c>
      <c r="M38" s="6" t="inlineStr">
        <is>
          <t>troy oz</t>
        </is>
      </c>
      <c r="N38" s="8" t="n">
        <v>27.9584</v>
      </c>
      <c r="O38" s="8" t="n">
        <v>27.9565</v>
      </c>
      <c r="P38" s="9" t="n">
        <v>587126.4</v>
      </c>
      <c r="Q38" s="6" t="inlineStr">
        <is>
          <t>Confirmed</t>
        </is>
      </c>
      <c r="R38" s="6">
        <f>IFERROR(DATEVALUE(C38)-DATEVALUE(B38),"N/A")</f>
        <v/>
      </c>
      <c r="S38" s="6">
        <f>IF(AND(N38&lt;&gt;"",O38&lt;&gt;""),IF(N38&gt;O38,"Above","At/Below"),"N/A")</f>
        <v/>
      </c>
    </row>
    <row r="39">
      <c r="A39" s="10" t="inlineStr">
        <is>
          <t>TRD-000038</t>
        </is>
      </c>
      <c r="B39" s="10" t="inlineStr">
        <is>
          <t>2024-05-06</t>
        </is>
      </c>
      <c r="C39" s="10" t="inlineStr">
        <is>
          <t>2024-06-05</t>
        </is>
      </c>
      <c r="D39" s="10" t="inlineStr">
        <is>
          <t>Zinc</t>
        </is>
      </c>
      <c r="E39" s="10" t="inlineStr">
        <is>
          <t>ZN</t>
        </is>
      </c>
      <c r="F39" s="10" t="inlineStr">
        <is>
          <t>Base Metals</t>
        </is>
      </c>
      <c r="G39" s="10" t="inlineStr">
        <is>
          <t>BM-CLIENT-01</t>
        </is>
      </c>
      <c r="H39" s="10" t="inlineStr">
        <is>
          <t>R. Nakamura</t>
        </is>
      </c>
      <c r="I39" s="10" t="inlineStr">
        <is>
          <t>TD Securities</t>
        </is>
      </c>
      <c r="J39" s="10" t="inlineStr">
        <is>
          <t>Buy</t>
        </is>
      </c>
      <c r="K39" s="10" t="inlineStr">
        <is>
          <t>Spot</t>
        </is>
      </c>
      <c r="L39" s="11" t="n">
        <v>2600</v>
      </c>
      <c r="M39" s="10" t="inlineStr">
        <is>
          <t>MT</t>
        </is>
      </c>
      <c r="N39" s="12" t="n">
        <v>2817.8589</v>
      </c>
      <c r="O39" s="12" t="n">
        <v>2819.3495</v>
      </c>
      <c r="P39" s="13" t="n">
        <v>7326433.14</v>
      </c>
      <c r="Q39" s="10" t="inlineStr">
        <is>
          <t>Confirmed</t>
        </is>
      </c>
      <c r="R39" s="10">
        <f>IFERROR(DATEVALUE(C39)-DATEVALUE(B39),"N/A")</f>
        <v/>
      </c>
      <c r="S39" s="10">
        <f>IF(AND(N39&lt;&gt;"",O39&lt;&gt;""),IF(N39&gt;O39,"Above","At/Below"),"N/A")</f>
        <v/>
      </c>
    </row>
    <row r="40">
      <c r="A40" s="6" t="inlineStr">
        <is>
          <t>TRD-000039</t>
        </is>
      </c>
      <c r="B40" s="6" t="inlineStr">
        <is>
          <t>2024-12-05</t>
        </is>
      </c>
      <c r="C40" s="6" t="inlineStr">
        <is>
          <t>2025-03-05</t>
        </is>
      </c>
      <c r="D40" s="6" t="inlineStr">
        <is>
          <t>Palladium</t>
        </is>
      </c>
      <c r="E40" s="6" t="inlineStr">
        <is>
          <t>XPD</t>
        </is>
      </c>
      <c r="F40" s="6" t="inlineStr">
        <is>
          <t>Precious Metals</t>
        </is>
      </c>
      <c r="G40" s="6" t="inlineStr">
        <is>
          <t>PM-CLIENT-01</t>
        </is>
      </c>
      <c r="H40" s="6" t="inlineStr">
        <is>
          <t>R. Nakamura</t>
        </is>
      </c>
      <c r="I40" s="6" t="inlineStr">
        <is>
          <t>HSBC Metals</t>
        </is>
      </c>
      <c r="J40" s="6" t="inlineStr">
        <is>
          <t>Sell</t>
        </is>
      </c>
      <c r="K40" s="6" t="inlineStr">
        <is>
          <t>Forward</t>
        </is>
      </c>
      <c r="L40" s="7" t="n">
        <v>4400</v>
      </c>
      <c r="M40" s="6" t="inlineStr">
        <is>
          <t>troy oz</t>
        </is>
      </c>
      <c r="N40" s="8" t="n">
        <v>1017.7854</v>
      </c>
      <c r="O40" s="8" t="n">
        <v>1015.3176</v>
      </c>
      <c r="P40" s="9" t="n">
        <v>4478255.76</v>
      </c>
      <c r="Q40" s="6" t="inlineStr">
        <is>
          <t>Settled</t>
        </is>
      </c>
      <c r="R40" s="6">
        <f>IFERROR(DATEVALUE(C40)-DATEVALUE(B40),"N/A")</f>
        <v/>
      </c>
      <c r="S40" s="6">
        <f>IF(AND(N40&lt;&gt;"",O40&lt;&gt;""),IF(N40&gt;O40,"Above","At/Below"),"N/A")</f>
        <v/>
      </c>
    </row>
    <row r="41">
      <c r="A41" s="10" t="inlineStr">
        <is>
          <t>TRD-000040</t>
        </is>
      </c>
      <c r="B41" s="10" t="inlineStr">
        <is>
          <t>2024-08-09</t>
        </is>
      </c>
      <c r="C41" s="10" t="inlineStr">
        <is>
          <t>2024-08-11</t>
        </is>
      </c>
      <c r="D41" s="10" t="inlineStr">
        <is>
          <t>Palladium</t>
        </is>
      </c>
      <c r="E41" s="10" t="inlineStr">
        <is>
          <t>XPD</t>
        </is>
      </c>
      <c r="F41" s="10" t="inlineStr">
        <is>
          <t>Precious Metals</t>
        </is>
      </c>
      <c r="G41" s="10" t="inlineStr">
        <is>
          <t>PM-CLIENT-01</t>
        </is>
      </c>
      <c r="H41" s="10" t="inlineStr">
        <is>
          <t>M. Patel</t>
        </is>
      </c>
      <c r="I41" s="10" t="inlineStr">
        <is>
          <t>TD Securities</t>
        </is>
      </c>
      <c r="J41" s="10" t="inlineStr">
        <is>
          <t>Buy</t>
        </is>
      </c>
      <c r="K41" s="10" t="inlineStr">
        <is>
          <t>Spot</t>
        </is>
      </c>
      <c r="L41" s="11" t="n">
        <v>7600</v>
      </c>
      <c r="M41" s="10" t="inlineStr">
        <is>
          <t>troy oz</t>
        </is>
      </c>
      <c r="N41" s="12" t="n">
        <v>1087.4784</v>
      </c>
      <c r="O41" s="12" t="n">
        <v>1082.1891</v>
      </c>
      <c r="P41" s="13" t="n">
        <v>8264835.84</v>
      </c>
      <c r="Q41" s="10" t="inlineStr">
        <is>
          <t>Confirmed</t>
        </is>
      </c>
      <c r="R41" s="10">
        <f>IFERROR(DATEVALUE(C41)-DATEVALUE(B41),"N/A")</f>
        <v/>
      </c>
      <c r="S41" s="10">
        <f>IF(AND(N41&lt;&gt;"",O41&lt;&gt;""),IF(N41&gt;O41,"Above","At/Below"),"N/A")</f>
        <v/>
      </c>
    </row>
    <row r="42">
      <c r="A42" s="6" t="inlineStr">
        <is>
          <t>TRD-000041</t>
        </is>
      </c>
      <c r="B42" s="6" t="inlineStr">
        <is>
          <t>2024-10-02</t>
        </is>
      </c>
      <c r="C42" s="6" t="inlineStr">
        <is>
          <t>2024-10-07</t>
        </is>
      </c>
      <c r="D42" s="6" t="inlineStr">
        <is>
          <t>Palladium</t>
        </is>
      </c>
      <c r="E42" s="6" t="inlineStr">
        <is>
          <t>XPD</t>
        </is>
      </c>
      <c r="F42" s="6" t="inlineStr">
        <is>
          <t>Precious Metals</t>
        </is>
      </c>
      <c r="G42" s="6" t="inlineStr">
        <is>
          <t>PM-CLIENT-01</t>
        </is>
      </c>
      <c r="H42" s="6" t="inlineStr">
        <is>
          <t>M. Patel</t>
        </is>
      </c>
      <c r="I42" s="6" t="inlineStr">
        <is>
          <t>Deutsche Bank</t>
        </is>
      </c>
      <c r="J42" s="6" t="inlineStr">
        <is>
          <t>Buy</t>
        </is>
      </c>
      <c r="K42" s="6" t="inlineStr">
        <is>
          <t>Option</t>
        </is>
      </c>
      <c r="L42" s="7" t="n">
        <v>7600</v>
      </c>
      <c r="M42" s="6" t="inlineStr">
        <is>
          <t>troy oz</t>
        </is>
      </c>
      <c r="N42" s="8" t="n">
        <v>1043.6454</v>
      </c>
      <c r="O42" s="8" t="n">
        <v>1039.4636</v>
      </c>
      <c r="P42" s="9" t="n">
        <v>7931705.04</v>
      </c>
      <c r="Q42" s="6" t="inlineStr">
        <is>
          <t>Confirmed</t>
        </is>
      </c>
      <c r="R42" s="6">
        <f>IFERROR(DATEVALUE(C42)-DATEVALUE(B42),"N/A")</f>
        <v/>
      </c>
      <c r="S42" s="6">
        <f>IF(AND(N42&lt;&gt;"",O42&lt;&gt;""),IF(N42&gt;O42,"Above","At/Below"),"N/A")</f>
        <v/>
      </c>
    </row>
    <row r="43">
      <c r="A43" s="10" t="inlineStr">
        <is>
          <t>TRD-000042</t>
        </is>
      </c>
      <c r="B43" s="10" t="inlineStr">
        <is>
          <t>2024-06-27</t>
        </is>
      </c>
      <c r="C43" s="10" t="inlineStr">
        <is>
          <t>2024-06-29</t>
        </is>
      </c>
      <c r="D43" s="10" t="inlineStr">
        <is>
          <t>Nickel</t>
        </is>
      </c>
      <c r="E43" s="10" t="inlineStr">
        <is>
          <t>NI</t>
        </is>
      </c>
      <c r="F43" s="10" t="inlineStr">
        <is>
          <t>Base Metals</t>
        </is>
      </c>
      <c r="G43" s="10" t="inlineStr">
        <is>
          <t>BM-PROP-01</t>
        </is>
      </c>
      <c r="H43" s="10" t="inlineStr">
        <is>
          <t>P. O'Brien</t>
        </is>
      </c>
      <c r="I43" s="10" t="inlineStr">
        <is>
          <t>Barclays Metals</t>
        </is>
      </c>
      <c r="J43" s="10" t="inlineStr">
        <is>
          <t>Sell</t>
        </is>
      </c>
      <c r="K43" s="10" t="inlineStr">
        <is>
          <t>Swap</t>
        </is>
      </c>
      <c r="L43" s="11" t="n">
        <v>2975</v>
      </c>
      <c r="M43" s="10" t="inlineStr">
        <is>
          <t>MT</t>
        </is>
      </c>
      <c r="N43" s="12" t="n">
        <v>17497.6848</v>
      </c>
      <c r="O43" s="12" t="n">
        <v>17423.8082</v>
      </c>
      <c r="P43" s="13" t="n">
        <v>52055612.28</v>
      </c>
      <c r="Q43" s="10" t="inlineStr">
        <is>
          <t>Confirmed</t>
        </is>
      </c>
      <c r="R43" s="10">
        <f>IFERROR(DATEVALUE(C43)-DATEVALUE(B43),"N/A")</f>
        <v/>
      </c>
      <c r="S43" s="10">
        <f>IF(AND(N43&lt;&gt;"",O43&lt;&gt;""),IF(N43&gt;O43,"Above","At/Below"),"N/A")</f>
        <v/>
      </c>
    </row>
    <row r="44">
      <c r="A44" s="6" t="inlineStr">
        <is>
          <t>TRD-000043</t>
        </is>
      </c>
      <c r="B44" s="6" t="inlineStr">
        <is>
          <t>2024-12-06</t>
        </is>
      </c>
      <c r="C44" s="6" t="inlineStr">
        <is>
          <t>2024-12-11</t>
        </is>
      </c>
      <c r="D44" s="6" t="inlineStr">
        <is>
          <t>Platinum</t>
        </is>
      </c>
      <c r="E44" s="6" t="inlineStr">
        <is>
          <t>XPT</t>
        </is>
      </c>
      <c r="F44" s="6" t="inlineStr">
        <is>
          <t>Precious Metals</t>
        </is>
      </c>
      <c r="G44" s="6" t="inlineStr">
        <is>
          <t>PM-CLIENT-01</t>
        </is>
      </c>
      <c r="H44" s="6" t="inlineStr">
        <is>
          <t>L. Chen</t>
        </is>
      </c>
      <c r="I44" s="6" t="inlineStr">
        <is>
          <t>JPMorgan Commodities</t>
        </is>
      </c>
      <c r="J44" s="6" t="inlineStr">
        <is>
          <t>Sell</t>
        </is>
      </c>
      <c r="K44" s="6" t="inlineStr">
        <is>
          <t>Forward</t>
        </is>
      </c>
      <c r="L44" s="7" t="n">
        <v>12700</v>
      </c>
      <c r="M44" s="6" t="inlineStr">
        <is>
          <t>troy oz</t>
        </is>
      </c>
      <c r="N44" s="8" t="n">
        <v>957.978</v>
      </c>
      <c r="O44" s="8" t="n">
        <v>956.4008</v>
      </c>
      <c r="P44" s="9" t="n">
        <v>12166320.6</v>
      </c>
      <c r="Q44" s="6" t="inlineStr">
        <is>
          <t>Confirmed</t>
        </is>
      </c>
      <c r="R44" s="6">
        <f>IFERROR(DATEVALUE(C44)-DATEVALUE(B44),"N/A")</f>
        <v/>
      </c>
      <c r="S44" s="6">
        <f>IF(AND(N44&lt;&gt;"",O44&lt;&gt;""),IF(N44&gt;O44,"Above","At/Below"),"N/A")</f>
        <v/>
      </c>
    </row>
    <row r="45">
      <c r="A45" s="10" t="inlineStr">
        <is>
          <t>TRD-000044</t>
        </is>
      </c>
      <c r="B45" s="10" t="inlineStr">
        <is>
          <t>2024-07-15</t>
        </is>
      </c>
      <c r="C45" s="10" t="inlineStr">
        <is>
          <t>2024-07-17</t>
        </is>
      </c>
      <c r="D45" s="10" t="inlineStr">
        <is>
          <t>Copper</t>
        </is>
      </c>
      <c r="E45" s="10" t="inlineStr">
        <is>
          <t>HG</t>
        </is>
      </c>
      <c r="F45" s="10" t="inlineStr">
        <is>
          <t>Base Metals</t>
        </is>
      </c>
      <c r="G45" s="10" t="inlineStr">
        <is>
          <t>BM-PROP-01</t>
        </is>
      </c>
      <c r="H45" s="10" t="inlineStr">
        <is>
          <t>S. Okonkwo</t>
        </is>
      </c>
      <c r="I45" s="10" t="inlineStr">
        <is>
          <t>BNP Paribas</t>
        </is>
      </c>
      <c r="J45" s="10" t="inlineStr">
        <is>
          <t>Buy</t>
        </is>
      </c>
      <c r="K45" s="10" t="inlineStr">
        <is>
          <t>Spot</t>
        </is>
      </c>
      <c r="L45" s="11" t="n">
        <v>3475</v>
      </c>
      <c r="M45" s="10" t="inlineStr">
        <is>
          <t>lbs</t>
        </is>
      </c>
      <c r="N45" s="12" t="n">
        <v>4.0736</v>
      </c>
      <c r="O45" s="12" t="n">
        <v>4.0752</v>
      </c>
      <c r="P45" s="13" t="n">
        <v>14155.76</v>
      </c>
      <c r="Q45" s="10" t="inlineStr">
        <is>
          <t>Confirmed</t>
        </is>
      </c>
      <c r="R45" s="10">
        <f>IFERROR(DATEVALUE(C45)-DATEVALUE(B45),"N/A")</f>
        <v/>
      </c>
      <c r="S45" s="10">
        <f>IF(AND(N45&lt;&gt;"",O45&lt;&gt;""),IF(N45&gt;O45,"Above","At/Below"),"N/A")</f>
        <v/>
      </c>
    </row>
    <row r="46">
      <c r="A46" s="6" t="inlineStr">
        <is>
          <t>TRD-000045</t>
        </is>
      </c>
      <c r="B46" s="6" t="inlineStr">
        <is>
          <t>2024-08-26</t>
        </is>
      </c>
      <c r="C46" s="6" t="inlineStr">
        <is>
          <t>2024-09-25</t>
        </is>
      </c>
      <c r="D46" s="6" t="inlineStr">
        <is>
          <t>Zinc</t>
        </is>
      </c>
      <c r="E46" s="6" t="inlineStr">
        <is>
          <t>ZN</t>
        </is>
      </c>
      <c r="F46" s="6" t="inlineStr">
        <is>
          <t>Base Metals</t>
        </is>
      </c>
      <c r="G46" s="6" t="inlineStr">
        <is>
          <t>BM-HEDGE-01</t>
        </is>
      </c>
      <c r="H46" s="6" t="inlineStr">
        <is>
          <t>J. Kowalski</t>
        </is>
      </c>
      <c r="I46" s="6" t="inlineStr">
        <is>
          <t>Goldman Sachs</t>
        </is>
      </c>
      <c r="J46" s="6" t="inlineStr">
        <is>
          <t>Buy</t>
        </is>
      </c>
      <c r="K46" s="6" t="inlineStr">
        <is>
          <t>Option</t>
        </is>
      </c>
      <c r="L46" s="7" t="n">
        <v>400</v>
      </c>
      <c r="M46" s="6" t="inlineStr">
        <is>
          <t>MT</t>
        </is>
      </c>
      <c r="N46" s="8" t="n">
        <v>2792.4856</v>
      </c>
      <c r="O46" s="8" t="n">
        <v>2790.4588</v>
      </c>
      <c r="P46" s="9" t="n">
        <v>1116994.24</v>
      </c>
      <c r="Q46" s="6" t="inlineStr">
        <is>
          <t>Confirmed</t>
        </is>
      </c>
      <c r="R46" s="6">
        <f>IFERROR(DATEVALUE(C46)-DATEVALUE(B46),"N/A")</f>
        <v/>
      </c>
      <c r="S46" s="6">
        <f>IF(AND(N46&lt;&gt;"",O46&lt;&gt;""),IF(N46&gt;O46,"Above","At/Below"),"N/A")</f>
        <v/>
      </c>
    </row>
    <row r="47">
      <c r="A47" s="10" t="inlineStr">
        <is>
          <t>TRD-000046</t>
        </is>
      </c>
      <c r="B47" s="10" t="inlineStr">
        <is>
          <t>2024-08-01</t>
        </is>
      </c>
      <c r="C47" s="10" t="inlineStr">
        <is>
          <t>2024-08-06</t>
        </is>
      </c>
      <c r="D47" s="10" t="inlineStr">
        <is>
          <t>Gold</t>
        </is>
      </c>
      <c r="E47" s="10" t="inlineStr">
        <is>
          <t>XAU</t>
        </is>
      </c>
      <c r="F47" s="10" t="inlineStr">
        <is>
          <t>Precious Metals</t>
        </is>
      </c>
      <c r="G47" s="10" t="inlineStr">
        <is>
          <t>PM-HEDGE-01</t>
        </is>
      </c>
      <c r="H47" s="10" t="inlineStr">
        <is>
          <t>L. Chen</t>
        </is>
      </c>
      <c r="I47" s="10" t="inlineStr">
        <is>
          <t>TD Securities</t>
        </is>
      </c>
      <c r="J47" s="10" t="inlineStr">
        <is>
          <t>Sell</t>
        </is>
      </c>
      <c r="K47" s="10" t="inlineStr">
        <is>
          <t>Forward</t>
        </is>
      </c>
      <c r="L47" s="11" t="n">
        <v>48900</v>
      </c>
      <c r="M47" s="10" t="inlineStr">
        <is>
          <t>troy oz</t>
        </is>
      </c>
      <c r="N47" s="12" t="n">
        <v>2440.706</v>
      </c>
      <c r="O47" s="12" t="n">
        <v>2433.0603</v>
      </c>
      <c r="P47" s="13" t="n">
        <v>119350523.4</v>
      </c>
      <c r="Q47" s="10" t="inlineStr">
        <is>
          <t>Confirmed</t>
        </is>
      </c>
      <c r="R47" s="10">
        <f>IFERROR(DATEVALUE(C47)-DATEVALUE(B47),"N/A")</f>
        <v/>
      </c>
      <c r="S47" s="10">
        <f>IF(AND(N47&lt;&gt;"",O47&lt;&gt;""),IF(N47&gt;O47,"Above","At/Below"),"N/A")</f>
        <v/>
      </c>
    </row>
    <row r="48">
      <c r="A48" s="6" t="inlineStr">
        <is>
          <t>TRD-000047</t>
        </is>
      </c>
      <c r="B48" s="6" t="inlineStr">
        <is>
          <t>2024-01-22</t>
        </is>
      </c>
      <c r="C48" s="6" t="inlineStr">
        <is>
          <t>2024-01-27</t>
        </is>
      </c>
      <c r="D48" s="6" t="inlineStr">
        <is>
          <t>Zinc</t>
        </is>
      </c>
      <c r="E48" s="6" t="inlineStr">
        <is>
          <t>ZN</t>
        </is>
      </c>
      <c r="F48" s="6" t="inlineStr">
        <is>
          <t>Base Metals</t>
        </is>
      </c>
      <c r="G48" s="6" t="inlineStr">
        <is>
          <t>BM-HEDGE-01</t>
        </is>
      </c>
      <c r="H48" s="6" t="inlineStr">
        <is>
          <t>S. Okonkwo</t>
        </is>
      </c>
      <c r="I48" s="6" t="inlineStr">
        <is>
          <t>Goldman Sachs</t>
        </is>
      </c>
      <c r="J48" s="6" t="inlineStr">
        <is>
          <t>Sell</t>
        </is>
      </c>
      <c r="K48" s="6" t="inlineStr">
        <is>
          <t>Forward</t>
        </is>
      </c>
      <c r="L48" s="7" t="n">
        <v>4350</v>
      </c>
      <c r="M48" s="6" t="inlineStr">
        <is>
          <t>MT</t>
        </is>
      </c>
      <c r="N48" s="8" t="n">
        <v>2764.812</v>
      </c>
      <c r="O48" s="8" t="n">
        <v>2754.1163</v>
      </c>
      <c r="P48" s="9" t="n">
        <v>12026932.2</v>
      </c>
      <c r="Q48" s="6" t="inlineStr">
        <is>
          <t>Confirmed</t>
        </is>
      </c>
      <c r="R48" s="6">
        <f>IFERROR(DATEVALUE(C48)-DATEVALUE(B48),"N/A")</f>
        <v/>
      </c>
      <c r="S48" s="6">
        <f>IF(AND(N48&lt;&gt;"",O48&lt;&gt;""),IF(N48&gt;O48,"Above","At/Below"),"N/A")</f>
        <v/>
      </c>
    </row>
    <row r="49">
      <c r="A49" s="10" t="inlineStr">
        <is>
          <t>TRD-000048</t>
        </is>
      </c>
      <c r="B49" s="10" t="inlineStr">
        <is>
          <t>2024-01-19</t>
        </is>
      </c>
      <c r="C49" s="10" t="inlineStr">
        <is>
          <t>2024-01-21</t>
        </is>
      </c>
      <c r="D49" s="10" t="inlineStr">
        <is>
          <t>Zinc</t>
        </is>
      </c>
      <c r="E49" s="10" t="inlineStr">
        <is>
          <t>ZN</t>
        </is>
      </c>
      <c r="F49" s="10" t="inlineStr">
        <is>
          <t>Base Metals</t>
        </is>
      </c>
      <c r="G49" s="10" t="inlineStr">
        <is>
          <t>BM-CLIENT-01</t>
        </is>
      </c>
      <c r="H49" s="10" t="inlineStr">
        <is>
          <t>R. Nakamura</t>
        </is>
      </c>
      <c r="I49" s="10" t="inlineStr">
        <is>
          <t>Citibank NA</t>
        </is>
      </c>
      <c r="J49" s="10" t="inlineStr">
        <is>
          <t>Sell</t>
        </is>
      </c>
      <c r="K49" s="10" t="inlineStr">
        <is>
          <t>Spot</t>
        </is>
      </c>
      <c r="L49" s="11" t="n">
        <v>875</v>
      </c>
      <c r="M49" s="10" t="inlineStr">
        <is>
          <t>MT</t>
        </is>
      </c>
      <c r="N49" s="12" t="n">
        <v>2839.4618</v>
      </c>
      <c r="O49" s="12" t="n">
        <v>2839.9699</v>
      </c>
      <c r="P49" s="13" t="n">
        <v>2484529.08</v>
      </c>
      <c r="Q49" s="10" t="inlineStr">
        <is>
          <t>Confirmed</t>
        </is>
      </c>
      <c r="R49" s="10">
        <f>IFERROR(DATEVALUE(C49)-DATEVALUE(B49),"N/A")</f>
        <v/>
      </c>
      <c r="S49" s="10">
        <f>IF(AND(N49&lt;&gt;"",O49&lt;&gt;""),IF(N49&gt;O49,"Above","At/Below"),"N/A")</f>
        <v/>
      </c>
    </row>
    <row r="50">
      <c r="A50" s="6" t="inlineStr">
        <is>
          <t>TRD-000049</t>
        </is>
      </c>
      <c r="B50" s="6" t="inlineStr">
        <is>
          <t>2024-07-18</t>
        </is>
      </c>
      <c r="C50" s="6" t="inlineStr">
        <is>
          <t>2024-07-23</t>
        </is>
      </c>
      <c r="D50" s="6" t="inlineStr">
        <is>
          <t>Aluminium</t>
        </is>
      </c>
      <c r="E50" s="6" t="inlineStr">
        <is>
          <t>AL</t>
        </is>
      </c>
      <c r="F50" s="6" t="inlineStr">
        <is>
          <t>Base Metals</t>
        </is>
      </c>
      <c r="G50" s="6" t="inlineStr">
        <is>
          <t>BM-HEDGE-01</t>
        </is>
      </c>
      <c r="H50" s="6" t="inlineStr">
        <is>
          <t>R. Nakamura</t>
        </is>
      </c>
      <c r="I50" s="6" t="inlineStr">
        <is>
          <t>Citibank NA</t>
        </is>
      </c>
      <c r="J50" s="6" t="inlineStr">
        <is>
          <t>Sell</t>
        </is>
      </c>
      <c r="K50" s="6" t="inlineStr">
        <is>
          <t>Spot</t>
        </is>
      </c>
      <c r="L50" s="7" t="n">
        <v>525</v>
      </c>
      <c r="M50" s="6" t="inlineStr">
        <is>
          <t>MT</t>
        </is>
      </c>
      <c r="N50" s="8" t="n">
        <v>2393.5497</v>
      </c>
      <c r="O50" s="8" t="n">
        <v>2389.3065</v>
      </c>
      <c r="P50" s="9" t="n">
        <v>1256613.59</v>
      </c>
      <c r="Q50" s="6" t="inlineStr">
        <is>
          <t>Pending</t>
        </is>
      </c>
      <c r="R50" s="6">
        <f>IFERROR(DATEVALUE(C50)-DATEVALUE(B50),"N/A")</f>
        <v/>
      </c>
      <c r="S50" s="6">
        <f>IF(AND(N50&lt;&gt;"",O50&lt;&gt;""),IF(N50&gt;O50,"Above","At/Below"),"N/A")</f>
        <v/>
      </c>
    </row>
    <row r="51">
      <c r="A51" s="10" t="inlineStr">
        <is>
          <t>TRD-000050</t>
        </is>
      </c>
      <c r="B51" s="10" t="inlineStr">
        <is>
          <t>2024-06-26</t>
        </is>
      </c>
      <c r="C51" s="10" t="inlineStr">
        <is>
          <t>2024-06-28</t>
        </is>
      </c>
      <c r="D51" s="10" t="inlineStr">
        <is>
          <t>Gold</t>
        </is>
      </c>
      <c r="E51" s="10" t="inlineStr">
        <is>
          <t>XAU</t>
        </is>
      </c>
      <c r="F51" s="10" t="inlineStr">
        <is>
          <t>Precious Metals</t>
        </is>
      </c>
      <c r="G51" s="10" t="inlineStr">
        <is>
          <t>PM-PROP-01</t>
        </is>
      </c>
      <c r="H51" s="10" t="inlineStr">
        <is>
          <t>M. Patel</t>
        </is>
      </c>
      <c r="I51" s="10" t="inlineStr">
        <is>
          <t>Goldman Sachs</t>
        </is>
      </c>
      <c r="J51" s="10" t="inlineStr">
        <is>
          <t>Buy</t>
        </is>
      </c>
      <c r="K51" s="10" t="inlineStr">
        <is>
          <t>Spot</t>
        </is>
      </c>
      <c r="L51" s="11" t="n">
        <v>31900</v>
      </c>
      <c r="M51" s="10" t="inlineStr">
        <is>
          <t>troy oz</t>
        </is>
      </c>
      <c r="N51" s="12" t="n">
        <v>2432.9137</v>
      </c>
      <c r="O51" s="12" t="n">
        <v>2429.7188</v>
      </c>
      <c r="P51" s="13" t="n">
        <v>77609947.03</v>
      </c>
      <c r="Q51" s="10" t="inlineStr">
        <is>
          <t>Settled</t>
        </is>
      </c>
      <c r="R51" s="10">
        <f>IFERROR(DATEVALUE(C51)-DATEVALUE(B51),"N/A")</f>
        <v/>
      </c>
      <c r="S51" s="10">
        <f>IF(AND(N51&lt;&gt;"",O51&lt;&gt;""),IF(N51&gt;O51,"Above","At/Below"),"N/A")</f>
        <v/>
      </c>
    </row>
    <row r="52">
      <c r="A52" s="6" t="inlineStr">
        <is>
          <t>TRD-000051</t>
        </is>
      </c>
      <c r="B52" s="6" t="inlineStr">
        <is>
          <t>2024-07-03</t>
        </is>
      </c>
      <c r="C52" s="6" t="inlineStr">
        <is>
          <t>2024-07-05</t>
        </is>
      </c>
      <c r="D52" s="6" t="inlineStr">
        <is>
          <t>Nickel</t>
        </is>
      </c>
      <c r="E52" s="6" t="inlineStr">
        <is>
          <t>NI</t>
        </is>
      </c>
      <c r="F52" s="6" t="inlineStr">
        <is>
          <t>Base Metals</t>
        </is>
      </c>
      <c r="G52" s="6" t="inlineStr">
        <is>
          <t>BM-CLIENT-01</t>
        </is>
      </c>
      <c r="H52" s="6" t="inlineStr">
        <is>
          <t>A. Dubois</t>
        </is>
      </c>
      <c r="I52" s="6" t="inlineStr">
        <is>
          <t>HSBC Metals</t>
        </is>
      </c>
      <c r="J52" s="6" t="inlineStr">
        <is>
          <t>Buy</t>
        </is>
      </c>
      <c r="K52" s="6" t="inlineStr">
        <is>
          <t>Forward</t>
        </is>
      </c>
      <c r="L52" s="7" t="n">
        <v>3900</v>
      </c>
      <c r="M52" s="6" t="inlineStr">
        <is>
          <t>MT</t>
        </is>
      </c>
      <c r="N52" s="8" t="n">
        <v>16904.1886</v>
      </c>
      <c r="O52" s="8" t="n">
        <v>16918.631</v>
      </c>
      <c r="P52" s="9" t="n">
        <v>65926335.54</v>
      </c>
      <c r="Q52" s="6" t="inlineStr">
        <is>
          <t>Confirmed</t>
        </is>
      </c>
      <c r="R52" s="6">
        <f>IFERROR(DATEVALUE(C52)-DATEVALUE(B52),"N/A")</f>
        <v/>
      </c>
      <c r="S52" s="6">
        <f>IF(AND(N52&lt;&gt;"",O52&lt;&gt;""),IF(N52&gt;O52,"Above","At/Below"),"N/A")</f>
        <v/>
      </c>
    </row>
    <row r="53">
      <c r="A53" s="10" t="inlineStr">
        <is>
          <t>TRD-000052</t>
        </is>
      </c>
      <c r="B53" s="10" t="inlineStr">
        <is>
          <t>2024-09-26</t>
        </is>
      </c>
      <c r="C53" s="10" t="inlineStr">
        <is>
          <t>2024-10-01</t>
        </is>
      </c>
      <c r="D53" s="10" t="inlineStr">
        <is>
          <t>Copper</t>
        </is>
      </c>
      <c r="E53" s="10" t="inlineStr">
        <is>
          <t>HG</t>
        </is>
      </c>
      <c r="F53" s="10" t="inlineStr">
        <is>
          <t>Base Metals</t>
        </is>
      </c>
      <c r="G53" s="10" t="inlineStr">
        <is>
          <t>BM-CLIENT-01</t>
        </is>
      </c>
      <c r="H53" s="10" t="inlineStr">
        <is>
          <t>L. Chen</t>
        </is>
      </c>
      <c r="I53" s="10" t="inlineStr">
        <is>
          <t>HSBC Metals</t>
        </is>
      </c>
      <c r="J53" s="10" t="inlineStr">
        <is>
          <t>Buy</t>
        </is>
      </c>
      <c r="K53" s="10" t="inlineStr">
        <is>
          <t>Forward</t>
        </is>
      </c>
      <c r="L53" s="11" t="n">
        <v>1275</v>
      </c>
      <c r="M53" s="10" t="inlineStr">
        <is>
          <t>lbs</t>
        </is>
      </c>
      <c r="N53" s="12" t="n">
        <v>4.3497</v>
      </c>
      <c r="O53" s="12" t="n">
        <v>4.3332</v>
      </c>
      <c r="P53" s="13" t="n">
        <v>5545.87</v>
      </c>
      <c r="Q53" s="10" t="inlineStr">
        <is>
          <t>Pending</t>
        </is>
      </c>
      <c r="R53" s="10">
        <f>IFERROR(DATEVALUE(C53)-DATEVALUE(B53),"N/A")</f>
        <v/>
      </c>
      <c r="S53" s="10">
        <f>IF(AND(N53&lt;&gt;"",O53&lt;&gt;""),IF(N53&gt;O53,"Above","At/Below"),"N/A")</f>
        <v/>
      </c>
    </row>
    <row r="54">
      <c r="A54" s="6" t="inlineStr">
        <is>
          <t>TRD-000053</t>
        </is>
      </c>
      <c r="B54" s="6" t="inlineStr">
        <is>
          <t>2024-03-27</t>
        </is>
      </c>
      <c r="C54" s="6" t="inlineStr">
        <is>
          <t>2024-04-26</t>
        </is>
      </c>
      <c r="D54" s="6" t="inlineStr">
        <is>
          <t>Copper</t>
        </is>
      </c>
      <c r="E54" s="6" t="inlineStr">
        <is>
          <t>HG</t>
        </is>
      </c>
      <c r="F54" s="6" t="inlineStr">
        <is>
          <t>Base Metals</t>
        </is>
      </c>
      <c r="G54" s="6" t="inlineStr">
        <is>
          <t>BM-CLIENT-01</t>
        </is>
      </c>
      <c r="H54" s="6" t="inlineStr">
        <is>
          <t>R. Nakamura</t>
        </is>
      </c>
      <c r="I54" s="6" t="inlineStr">
        <is>
          <t>Scotiabank</t>
        </is>
      </c>
      <c r="J54" s="6" t="inlineStr">
        <is>
          <t>Sell</t>
        </is>
      </c>
      <c r="K54" s="6" t="inlineStr">
        <is>
          <t>Forward</t>
        </is>
      </c>
      <c r="L54" s="7" t="n">
        <v>2225</v>
      </c>
      <c r="M54" s="6" t="inlineStr">
        <is>
          <t>lbs</t>
        </is>
      </c>
      <c r="N54" s="8" t="n">
        <v>4.2608</v>
      </c>
      <c r="O54" s="8" t="n">
        <v>4.2673</v>
      </c>
      <c r="P54" s="9" t="n">
        <v>9480.280000000001</v>
      </c>
      <c r="Q54" s="6" t="inlineStr">
        <is>
          <t>Settled</t>
        </is>
      </c>
      <c r="R54" s="6">
        <f>IFERROR(DATEVALUE(C54)-DATEVALUE(B54),"N/A")</f>
        <v/>
      </c>
      <c r="S54" s="6">
        <f>IF(AND(N54&lt;&gt;"",O54&lt;&gt;""),IF(N54&gt;O54,"Above","At/Below"),"N/A")</f>
        <v/>
      </c>
    </row>
    <row r="55">
      <c r="A55" s="10" t="inlineStr">
        <is>
          <t>TRD-000054</t>
        </is>
      </c>
      <c r="B55" s="10" t="inlineStr">
        <is>
          <t>2024-11-06</t>
        </is>
      </c>
      <c r="C55" s="10" t="inlineStr">
        <is>
          <t>2024-11-08</t>
        </is>
      </c>
      <c r="D55" s="10" t="inlineStr">
        <is>
          <t>Nickel</t>
        </is>
      </c>
      <c r="E55" s="10" t="inlineStr">
        <is>
          <t>NI</t>
        </is>
      </c>
      <c r="F55" s="10" t="inlineStr">
        <is>
          <t>Base Metals</t>
        </is>
      </c>
      <c r="G55" s="10" t="inlineStr">
        <is>
          <t>BM-PROP-01</t>
        </is>
      </c>
      <c r="H55" s="10" t="inlineStr">
        <is>
          <t>A. Dubois</t>
        </is>
      </c>
      <c r="I55" s="10" t="inlineStr">
        <is>
          <t>Goldman Sachs</t>
        </is>
      </c>
      <c r="J55" s="10" t="inlineStr">
        <is>
          <t>Buy</t>
        </is>
      </c>
      <c r="K55" s="10" t="inlineStr">
        <is>
          <t>Spot</t>
        </is>
      </c>
      <c r="L55" s="11" t="n">
        <v>2950</v>
      </c>
      <c r="M55" s="10" t="inlineStr">
        <is>
          <t>MT</t>
        </is>
      </c>
      <c r="N55" s="12" t="n">
        <v>17792.9081</v>
      </c>
      <c r="O55" s="12" t="n">
        <v>17737.2739</v>
      </c>
      <c r="P55" s="13" t="n">
        <v>52489078.9</v>
      </c>
      <c r="Q55" s="10" t="inlineStr">
        <is>
          <t>Settled</t>
        </is>
      </c>
      <c r="R55" s="10">
        <f>IFERROR(DATEVALUE(C55)-DATEVALUE(B55),"N/A")</f>
        <v/>
      </c>
      <c r="S55" s="10">
        <f>IF(AND(N55&lt;&gt;"",O55&lt;&gt;""),IF(N55&gt;O55,"Above","At/Below"),"N/A")</f>
        <v/>
      </c>
    </row>
    <row r="56">
      <c r="A56" s="6" t="inlineStr">
        <is>
          <t>TRD-000055</t>
        </is>
      </c>
      <c r="B56" s="6" t="inlineStr">
        <is>
          <t>2024-11-08</t>
        </is>
      </c>
      <c r="C56" s="6" t="inlineStr">
        <is>
          <t>2025-02-06</t>
        </is>
      </c>
      <c r="D56" s="6" t="inlineStr">
        <is>
          <t>Nickel</t>
        </is>
      </c>
      <c r="E56" s="6" t="inlineStr">
        <is>
          <t>NI</t>
        </is>
      </c>
      <c r="F56" s="6" t="inlineStr">
        <is>
          <t>Base Metals</t>
        </is>
      </c>
      <c r="G56" s="6" t="inlineStr">
        <is>
          <t>BM-HEDGE-01</t>
        </is>
      </c>
      <c r="H56" s="6" t="inlineStr">
        <is>
          <t>T. Vasquez</t>
        </is>
      </c>
      <c r="I56" s="6" t="inlineStr">
        <is>
          <t>Citibank NA</t>
        </is>
      </c>
      <c r="J56" s="6" t="inlineStr">
        <is>
          <t>Buy</t>
        </is>
      </c>
      <c r="K56" s="6" t="inlineStr">
        <is>
          <t>Option</t>
        </is>
      </c>
      <c r="L56" s="7" t="n">
        <v>2075</v>
      </c>
      <c r="M56" s="6" t="inlineStr">
        <is>
          <t>MT</t>
        </is>
      </c>
      <c r="N56" s="8" t="n">
        <v>17637.2213</v>
      </c>
      <c r="O56" s="8" t="n">
        <v>17661.8306</v>
      </c>
      <c r="P56" s="9" t="n">
        <v>36597234.2</v>
      </c>
      <c r="Q56" s="6" t="inlineStr">
        <is>
          <t>Settled</t>
        </is>
      </c>
      <c r="R56" s="6">
        <f>IFERROR(DATEVALUE(C56)-DATEVALUE(B56),"N/A")</f>
        <v/>
      </c>
      <c r="S56" s="6">
        <f>IF(AND(N56&lt;&gt;"",O56&lt;&gt;""),IF(N56&gt;O56,"Above","At/Below"),"N/A")</f>
        <v/>
      </c>
    </row>
    <row r="57">
      <c r="A57" s="10" t="inlineStr">
        <is>
          <t>TRD-000056</t>
        </is>
      </c>
      <c r="B57" s="10" t="inlineStr">
        <is>
          <t>2024-01-22</t>
        </is>
      </c>
      <c r="C57" s="10" t="inlineStr">
        <is>
          <t>2024-01-27</t>
        </is>
      </c>
      <c r="D57" s="10" t="inlineStr">
        <is>
          <t>Zinc</t>
        </is>
      </c>
      <c r="E57" s="10" t="inlineStr">
        <is>
          <t>ZN</t>
        </is>
      </c>
      <c r="F57" s="10" t="inlineStr">
        <is>
          <t>Base Metals</t>
        </is>
      </c>
      <c r="G57" s="10" t="inlineStr">
        <is>
          <t>BM-HEDGE-01</t>
        </is>
      </c>
      <c r="H57" s="10" t="inlineStr">
        <is>
          <t>R. Nakamura</t>
        </is>
      </c>
      <c r="I57" s="10" t="inlineStr">
        <is>
          <t>JPMorgan Commodities</t>
        </is>
      </c>
      <c r="J57" s="10" t="inlineStr">
        <is>
          <t>Sell</t>
        </is>
      </c>
      <c r="K57" s="10" t="inlineStr">
        <is>
          <t>Spot</t>
        </is>
      </c>
      <c r="L57" s="11" t="n">
        <v>1175</v>
      </c>
      <c r="M57" s="10" t="inlineStr">
        <is>
          <t>MT</t>
        </is>
      </c>
      <c r="N57" s="12" t="n">
        <v>2908.6566</v>
      </c>
      <c r="O57" s="12" t="n">
        <v>2898.2668</v>
      </c>
      <c r="P57" s="13" t="n">
        <v>3417671.5</v>
      </c>
      <c r="Q57" s="10" t="inlineStr">
        <is>
          <t>Settled</t>
        </is>
      </c>
      <c r="R57" s="10">
        <f>IFERROR(DATEVALUE(C57)-DATEVALUE(B57),"N/A")</f>
        <v/>
      </c>
      <c r="S57" s="10">
        <f>IF(AND(N57&lt;&gt;"",O57&lt;&gt;""),IF(N57&gt;O57,"Above","At/Below"),"N/A")</f>
        <v/>
      </c>
    </row>
    <row r="58">
      <c r="A58" s="6" t="inlineStr">
        <is>
          <t>TRD-000057</t>
        </is>
      </c>
      <c r="B58" s="6" t="inlineStr">
        <is>
          <t>2024-01-09</t>
        </is>
      </c>
      <c r="C58" s="6" t="inlineStr">
        <is>
          <t>2024-02-08</t>
        </is>
      </c>
      <c r="D58" s="6" t="inlineStr">
        <is>
          <t>Copper</t>
        </is>
      </c>
      <c r="E58" s="6" t="inlineStr">
        <is>
          <t>HG</t>
        </is>
      </c>
      <c r="F58" s="6" t="inlineStr">
        <is>
          <t>Base Metals</t>
        </is>
      </c>
      <c r="G58" s="6" t="inlineStr">
        <is>
          <t>BM-CLIENT-01</t>
        </is>
      </c>
      <c r="H58" s="6" t="inlineStr">
        <is>
          <t>L. Chen</t>
        </is>
      </c>
      <c r="I58" s="6" t="inlineStr">
        <is>
          <t>BNP Paribas</t>
        </is>
      </c>
      <c r="J58" s="6" t="inlineStr">
        <is>
          <t>Buy</t>
        </is>
      </c>
      <c r="K58" s="6" t="inlineStr">
        <is>
          <t>Forward</t>
        </is>
      </c>
      <c r="L58" s="7" t="n">
        <v>550</v>
      </c>
      <c r="M58" s="6" t="inlineStr">
        <is>
          <t>lbs</t>
        </is>
      </c>
      <c r="N58" s="8" t="n">
        <v>4.3421</v>
      </c>
      <c r="O58" s="8" t="n">
        <v>4.3359</v>
      </c>
      <c r="P58" s="9" t="n">
        <v>2388.16</v>
      </c>
      <c r="Q58" s="6" t="inlineStr">
        <is>
          <t>Confirmed</t>
        </is>
      </c>
      <c r="R58" s="6">
        <f>IFERROR(DATEVALUE(C58)-DATEVALUE(B58),"N/A")</f>
        <v/>
      </c>
      <c r="S58" s="6">
        <f>IF(AND(N58&lt;&gt;"",O58&lt;&gt;""),IF(N58&gt;O58,"Above","At/Below"),"N/A")</f>
        <v/>
      </c>
    </row>
    <row r="59">
      <c r="A59" s="10" t="inlineStr">
        <is>
          <t>TRD-000058</t>
        </is>
      </c>
      <c r="B59" s="10" t="inlineStr">
        <is>
          <t>2024-01-12</t>
        </is>
      </c>
      <c r="C59" s="10" t="inlineStr">
        <is>
          <t>2024-01-14</t>
        </is>
      </c>
      <c r="D59" s="10" t="inlineStr">
        <is>
          <t>Nickel</t>
        </is>
      </c>
      <c r="E59" s="10" t="inlineStr">
        <is>
          <t>NI</t>
        </is>
      </c>
      <c r="F59" s="10" t="inlineStr">
        <is>
          <t>Base Metals</t>
        </is>
      </c>
      <c r="G59" s="10" t="inlineStr">
        <is>
          <t>BM-HEDGE-01</t>
        </is>
      </c>
      <c r="H59" s="10" t="inlineStr">
        <is>
          <t>T. Vasquez</t>
        </is>
      </c>
      <c r="I59" s="10" t="inlineStr">
        <is>
          <t>Barclays Metals</t>
        </is>
      </c>
      <c r="J59" s="10" t="inlineStr">
        <is>
          <t>Buy</t>
        </is>
      </c>
      <c r="K59" s="10" t="inlineStr">
        <is>
          <t>Spot</t>
        </is>
      </c>
      <c r="L59" s="11" t="n">
        <v>2600</v>
      </c>
      <c r="M59" s="10" t="inlineStr">
        <is>
          <t>MT</t>
        </is>
      </c>
      <c r="N59" s="12" t="n">
        <v>17175.4072</v>
      </c>
      <c r="O59" s="12" t="n">
        <v>17139.9123</v>
      </c>
      <c r="P59" s="13" t="n">
        <v>44656058.72</v>
      </c>
      <c r="Q59" s="10" t="inlineStr">
        <is>
          <t>Confirmed</t>
        </is>
      </c>
      <c r="R59" s="10">
        <f>IFERROR(DATEVALUE(C59)-DATEVALUE(B59),"N/A")</f>
        <v/>
      </c>
      <c r="S59" s="10">
        <f>IF(AND(N59&lt;&gt;"",O59&lt;&gt;""),IF(N59&gt;O59,"Above","At/Below"),"N/A")</f>
        <v/>
      </c>
    </row>
    <row r="60">
      <c r="A60" s="6" t="inlineStr">
        <is>
          <t>TRD-000059</t>
        </is>
      </c>
      <c r="B60" s="6" t="inlineStr">
        <is>
          <t>2024-08-26</t>
        </is>
      </c>
      <c r="C60" s="6" t="inlineStr">
        <is>
          <t>2024-08-28</t>
        </is>
      </c>
      <c r="D60" s="6" t="inlineStr">
        <is>
          <t>Zinc</t>
        </is>
      </c>
      <c r="E60" s="6" t="inlineStr">
        <is>
          <t>ZN</t>
        </is>
      </c>
      <c r="F60" s="6" t="inlineStr">
        <is>
          <t>Base Metals</t>
        </is>
      </c>
      <c r="G60" s="6" t="inlineStr">
        <is>
          <t>BM-CLIENT-01</t>
        </is>
      </c>
      <c r="H60" s="6" t="inlineStr">
        <is>
          <t>L. Chen</t>
        </is>
      </c>
      <c r="I60" s="6" t="inlineStr">
        <is>
          <t>UBS AG</t>
        </is>
      </c>
      <c r="J60" s="6" t="inlineStr">
        <is>
          <t>Sell</t>
        </is>
      </c>
      <c r="K60" s="6" t="inlineStr">
        <is>
          <t>Spot</t>
        </is>
      </c>
      <c r="L60" s="7" t="n">
        <v>1750</v>
      </c>
      <c r="M60" s="6" t="inlineStr">
        <is>
          <t>MT</t>
        </is>
      </c>
      <c r="N60" s="8" t="n">
        <v>2853.4986</v>
      </c>
      <c r="O60" s="8" t="n">
        <v>2856.7994</v>
      </c>
      <c r="P60" s="9" t="n">
        <v>4993622.55</v>
      </c>
      <c r="Q60" s="6" t="inlineStr">
        <is>
          <t>Confirmed</t>
        </is>
      </c>
      <c r="R60" s="6">
        <f>IFERROR(DATEVALUE(C60)-DATEVALUE(B60),"N/A")</f>
        <v/>
      </c>
      <c r="S60" s="6">
        <f>IF(AND(N60&lt;&gt;"",O60&lt;&gt;""),IF(N60&gt;O60,"Above","At/Below"),"N/A")</f>
        <v/>
      </c>
    </row>
    <row r="61">
      <c r="A61" s="10" t="inlineStr">
        <is>
          <t>TRD-000060</t>
        </is>
      </c>
      <c r="B61" s="10" t="inlineStr">
        <is>
          <t>2024-06-04</t>
        </is>
      </c>
      <c r="C61" s="10" t="inlineStr">
        <is>
          <t>2024-09-02</t>
        </is>
      </c>
      <c r="D61" s="10" t="inlineStr">
        <is>
          <t>Platinum</t>
        </is>
      </c>
      <c r="E61" s="10" t="inlineStr">
        <is>
          <t>XPT</t>
        </is>
      </c>
      <c r="F61" s="10" t="inlineStr">
        <is>
          <t>Precious Metals</t>
        </is>
      </c>
      <c r="G61" s="10" t="inlineStr">
        <is>
          <t>PM-PROP-01</t>
        </is>
      </c>
      <c r="H61" s="10" t="inlineStr">
        <is>
          <t>A. Dubois</t>
        </is>
      </c>
      <c r="I61" s="10" t="inlineStr">
        <is>
          <t>Citibank NA</t>
        </is>
      </c>
      <c r="J61" s="10" t="inlineStr">
        <is>
          <t>Sell</t>
        </is>
      </c>
      <c r="K61" s="10" t="inlineStr">
        <is>
          <t>Swap</t>
        </is>
      </c>
      <c r="L61" s="11" t="n">
        <v>37100</v>
      </c>
      <c r="M61" s="10" t="inlineStr">
        <is>
          <t>troy oz</t>
        </is>
      </c>
      <c r="N61" s="12" t="n">
        <v>982.1974</v>
      </c>
      <c r="O61" s="12" t="n">
        <v>978.4515</v>
      </c>
      <c r="P61" s="13" t="n">
        <v>36439523.54</v>
      </c>
      <c r="Q61" s="10" t="inlineStr">
        <is>
          <t>Confirmed</t>
        </is>
      </c>
      <c r="R61" s="10">
        <f>IFERROR(DATEVALUE(C61)-DATEVALUE(B61),"N/A")</f>
        <v/>
      </c>
      <c r="S61" s="10">
        <f>IF(AND(N61&lt;&gt;"",O61&lt;&gt;""),IF(N61&gt;O61,"Above","At/Below"),"N/A")</f>
        <v/>
      </c>
    </row>
    <row r="62">
      <c r="A62" s="6" t="inlineStr">
        <is>
          <t>TRD-000061</t>
        </is>
      </c>
      <c r="B62" s="6" t="inlineStr">
        <is>
          <t>2024-04-01</t>
        </is>
      </c>
      <c r="C62" s="6" t="inlineStr">
        <is>
          <t>2024-04-03</t>
        </is>
      </c>
      <c r="D62" s="6" t="inlineStr">
        <is>
          <t>Copper</t>
        </is>
      </c>
      <c r="E62" s="6" t="inlineStr">
        <is>
          <t>HG</t>
        </is>
      </c>
      <c r="F62" s="6" t="inlineStr">
        <is>
          <t>Base Metals</t>
        </is>
      </c>
      <c r="G62" s="6" t="inlineStr">
        <is>
          <t>BM-PROP-01</t>
        </is>
      </c>
      <c r="H62" s="6" t="inlineStr">
        <is>
          <t>T. Vasquez</t>
        </is>
      </c>
      <c r="I62" s="6" t="inlineStr">
        <is>
          <t>HSBC Metals</t>
        </is>
      </c>
      <c r="J62" s="6" t="inlineStr">
        <is>
          <t>Sell</t>
        </is>
      </c>
      <c r="K62" s="6" t="inlineStr">
        <is>
          <t>Forward</t>
        </is>
      </c>
      <c r="L62" s="7" t="n">
        <v>350</v>
      </c>
      <c r="M62" s="6" t="inlineStr">
        <is>
          <t>lbs</t>
        </is>
      </c>
      <c r="N62" s="8" t="n">
        <v>3.957</v>
      </c>
      <c r="O62" s="8" t="n">
        <v>3.9614</v>
      </c>
      <c r="P62" s="9" t="n">
        <v>1384.95</v>
      </c>
      <c r="Q62" s="6" t="inlineStr">
        <is>
          <t>Settled</t>
        </is>
      </c>
      <c r="R62" s="6">
        <f>IFERROR(DATEVALUE(C62)-DATEVALUE(B62),"N/A")</f>
        <v/>
      </c>
      <c r="S62" s="6">
        <f>IF(AND(N62&lt;&gt;"",O62&lt;&gt;""),IF(N62&gt;O62,"Above","At/Below"),"N/A")</f>
        <v/>
      </c>
    </row>
    <row r="63">
      <c r="A63" s="10" t="inlineStr">
        <is>
          <t>TRD-000062</t>
        </is>
      </c>
      <c r="B63" s="10" t="inlineStr">
        <is>
          <t>2024-12-10</t>
        </is>
      </c>
      <c r="C63" s="10" t="inlineStr">
        <is>
          <t>2024-12-15</t>
        </is>
      </c>
      <c r="D63" s="10" t="inlineStr">
        <is>
          <t>Copper</t>
        </is>
      </c>
      <c r="E63" s="10" t="inlineStr">
        <is>
          <t>HG</t>
        </is>
      </c>
      <c r="F63" s="10" t="inlineStr">
        <is>
          <t>Base Metals</t>
        </is>
      </c>
      <c r="G63" s="10" t="inlineStr">
        <is>
          <t>BM-HEDGE-01</t>
        </is>
      </c>
      <c r="H63" s="10" t="inlineStr">
        <is>
          <t>M. Patel</t>
        </is>
      </c>
      <c r="I63" s="10" t="inlineStr">
        <is>
          <t>Deutsche Bank</t>
        </is>
      </c>
      <c r="J63" s="10" t="inlineStr">
        <is>
          <t>Sell</t>
        </is>
      </c>
      <c r="K63" s="10" t="inlineStr">
        <is>
          <t>Swap</t>
        </is>
      </c>
      <c r="L63" s="11" t="n">
        <v>350</v>
      </c>
      <c r="M63" s="10" t="inlineStr">
        <is>
          <t>lbs</t>
        </is>
      </c>
      <c r="N63" s="12" t="n">
        <v>4.0894</v>
      </c>
      <c r="O63" s="12" t="n">
        <v>4.0839</v>
      </c>
      <c r="P63" s="13" t="n">
        <v>1431.29</v>
      </c>
      <c r="Q63" s="10" t="inlineStr">
        <is>
          <t>Confirmed</t>
        </is>
      </c>
      <c r="R63" s="10">
        <f>IFERROR(DATEVALUE(C63)-DATEVALUE(B63),"N/A")</f>
        <v/>
      </c>
      <c r="S63" s="10">
        <f>IF(AND(N63&lt;&gt;"",O63&lt;&gt;""),IF(N63&gt;O63,"Above","At/Below"),"N/A")</f>
        <v/>
      </c>
    </row>
    <row r="64">
      <c r="A64" s="6" t="inlineStr">
        <is>
          <t>TRD-000063</t>
        </is>
      </c>
      <c r="B64" s="6" t="inlineStr">
        <is>
          <t>2024-04-17</t>
        </is>
      </c>
      <c r="C64" s="6" t="inlineStr">
        <is>
          <t>2024-05-17</t>
        </is>
      </c>
      <c r="D64" s="6" t="inlineStr">
        <is>
          <t>Gold</t>
        </is>
      </c>
      <c r="E64" s="6" t="inlineStr">
        <is>
          <t>XAU</t>
        </is>
      </c>
      <c r="F64" s="6" t="inlineStr">
        <is>
          <t>Precious Metals</t>
        </is>
      </c>
      <c r="G64" s="6" t="inlineStr">
        <is>
          <t>PM-PROP-01</t>
        </is>
      </c>
      <c r="H64" s="6" t="inlineStr">
        <is>
          <t>L. Chen</t>
        </is>
      </c>
      <c r="I64" s="6" t="inlineStr">
        <is>
          <t>Barclays Metals</t>
        </is>
      </c>
      <c r="J64" s="6" t="inlineStr">
        <is>
          <t>Buy</t>
        </is>
      </c>
      <c r="K64" s="6" t="inlineStr">
        <is>
          <t>Spot</t>
        </is>
      </c>
      <c r="L64" s="7" t="n">
        <v>4400</v>
      </c>
      <c r="M64" s="6" t="inlineStr">
        <is>
          <t>troy oz</t>
        </is>
      </c>
      <c r="N64" s="8" t="n">
        <v>2463.7733</v>
      </c>
      <c r="O64" s="8" t="n">
        <v>2455.5445</v>
      </c>
      <c r="P64" s="9" t="n">
        <v>10840602.52</v>
      </c>
      <c r="Q64" s="6" t="inlineStr">
        <is>
          <t>Confirmed</t>
        </is>
      </c>
      <c r="R64" s="6">
        <f>IFERROR(DATEVALUE(C64)-DATEVALUE(B64),"N/A")</f>
        <v/>
      </c>
      <c r="S64" s="6">
        <f>IF(AND(N64&lt;&gt;"",O64&lt;&gt;""),IF(N64&gt;O64,"Above","At/Below"),"N/A")</f>
        <v/>
      </c>
    </row>
    <row r="65">
      <c r="A65" s="10" t="inlineStr">
        <is>
          <t>TRD-000064</t>
        </is>
      </c>
      <c r="B65" s="10" t="inlineStr">
        <is>
          <t>2024-11-04</t>
        </is>
      </c>
      <c r="C65" s="10" t="inlineStr">
        <is>
          <t>2024-11-06</t>
        </is>
      </c>
      <c r="D65" s="10" t="inlineStr">
        <is>
          <t>Nickel</t>
        </is>
      </c>
      <c r="E65" s="10" t="inlineStr">
        <is>
          <t>NI</t>
        </is>
      </c>
      <c r="F65" s="10" t="inlineStr">
        <is>
          <t>Base Metals</t>
        </is>
      </c>
      <c r="G65" s="10" t="inlineStr">
        <is>
          <t>BM-HEDGE-01</t>
        </is>
      </c>
      <c r="H65" s="10" t="inlineStr">
        <is>
          <t>L. Chen</t>
        </is>
      </c>
      <c r="I65" s="10" t="inlineStr">
        <is>
          <t>JPMorgan Commodities</t>
        </is>
      </c>
      <c r="J65" s="10" t="inlineStr">
        <is>
          <t>Buy</t>
        </is>
      </c>
      <c r="K65" s="10" t="inlineStr">
        <is>
          <t>Swap</t>
        </is>
      </c>
      <c r="L65" s="11" t="n">
        <v>400</v>
      </c>
      <c r="M65" s="10" t="inlineStr">
        <is>
          <t>MT</t>
        </is>
      </c>
      <c r="N65" s="12" t="n">
        <v>17610.4901</v>
      </c>
      <c r="O65" s="12" t="n">
        <v>17620.1016</v>
      </c>
      <c r="P65" s="13" t="n">
        <v>7044196.04</v>
      </c>
      <c r="Q65" s="10" t="inlineStr">
        <is>
          <t>Pending</t>
        </is>
      </c>
      <c r="R65" s="10">
        <f>IFERROR(DATEVALUE(C65)-DATEVALUE(B65),"N/A")</f>
        <v/>
      </c>
      <c r="S65" s="10">
        <f>IF(AND(N65&lt;&gt;"",O65&lt;&gt;""),IF(N65&gt;O65,"Above","At/Below"),"N/A")</f>
        <v/>
      </c>
    </row>
    <row r="66">
      <c r="A66" s="6" t="inlineStr">
        <is>
          <t>TRD-000065</t>
        </is>
      </c>
      <c r="B66" s="6" t="inlineStr">
        <is>
          <t>2024-05-03</t>
        </is>
      </c>
      <c r="C66" s="6" t="inlineStr">
        <is>
          <t>2024-06-02</t>
        </is>
      </c>
      <c r="D66" s="6" t="inlineStr">
        <is>
          <t>Platinum</t>
        </is>
      </c>
      <c r="E66" s="6" t="inlineStr">
        <is>
          <t>XPT</t>
        </is>
      </c>
      <c r="F66" s="6" t="inlineStr">
        <is>
          <t>Precious Metals</t>
        </is>
      </c>
      <c r="G66" s="6" t="inlineStr">
        <is>
          <t>PM-PROP-01</t>
        </is>
      </c>
      <c r="H66" s="6" t="inlineStr">
        <is>
          <t>A. Dubois</t>
        </is>
      </c>
      <c r="I66" s="6" t="inlineStr">
        <is>
          <t>Scotiabank</t>
        </is>
      </c>
      <c r="J66" s="6" t="inlineStr">
        <is>
          <t>Sell</t>
        </is>
      </c>
      <c r="K66" s="6" t="inlineStr">
        <is>
          <t>Spot</t>
        </is>
      </c>
      <c r="L66" s="7" t="n">
        <v>200</v>
      </c>
      <c r="M66" s="6" t="inlineStr">
        <is>
          <t>troy oz</t>
        </is>
      </c>
      <c r="N66" s="8" t="n">
        <v>940.3801</v>
      </c>
      <c r="O66" s="8" t="n">
        <v>938.3564</v>
      </c>
      <c r="P66" s="9" t="n">
        <v>188076.02</v>
      </c>
      <c r="Q66" s="6" t="inlineStr">
        <is>
          <t>Confirmed</t>
        </is>
      </c>
      <c r="R66" s="6">
        <f>IFERROR(DATEVALUE(C66)-DATEVALUE(B66),"N/A")</f>
        <v/>
      </c>
      <c r="S66" s="6">
        <f>IF(AND(N66&lt;&gt;"",O66&lt;&gt;""),IF(N66&gt;O66,"Above","At/Below"),"N/A")</f>
        <v/>
      </c>
    </row>
    <row r="67">
      <c r="A67" s="10" t="inlineStr">
        <is>
          <t>TRD-000066</t>
        </is>
      </c>
      <c r="B67" s="10" t="inlineStr">
        <is>
          <t>2024-11-21</t>
        </is>
      </c>
      <c r="C67" s="10" t="inlineStr">
        <is>
          <t>2024-11-23</t>
        </is>
      </c>
      <c r="D67" s="10" t="inlineStr">
        <is>
          <t>Copper</t>
        </is>
      </c>
      <c r="E67" s="10" t="inlineStr">
        <is>
          <t>HG</t>
        </is>
      </c>
      <c r="F67" s="10" t="inlineStr">
        <is>
          <t>Base Metals</t>
        </is>
      </c>
      <c r="G67" s="10" t="inlineStr">
        <is>
          <t>BM-CLIENT-01</t>
        </is>
      </c>
      <c r="H67" s="10" t="inlineStr">
        <is>
          <t>S. Okonkwo</t>
        </is>
      </c>
      <c r="I67" s="10" t="inlineStr">
        <is>
          <t>JPMorgan Commodities</t>
        </is>
      </c>
      <c r="J67" s="10" t="inlineStr">
        <is>
          <t>Buy</t>
        </is>
      </c>
      <c r="K67" s="10" t="inlineStr">
        <is>
          <t>Spot</t>
        </is>
      </c>
      <c r="L67" s="11" t="n">
        <v>1700</v>
      </c>
      <c r="M67" s="10" t="inlineStr">
        <is>
          <t>lbs</t>
        </is>
      </c>
      <c r="N67" s="12" t="n">
        <v>4.2355</v>
      </c>
      <c r="O67" s="12" t="n">
        <v>4.2278</v>
      </c>
      <c r="P67" s="13" t="n">
        <v>7200.35</v>
      </c>
      <c r="Q67" s="10" t="inlineStr">
        <is>
          <t>Settled</t>
        </is>
      </c>
      <c r="R67" s="10">
        <f>IFERROR(DATEVALUE(C67)-DATEVALUE(B67),"N/A")</f>
        <v/>
      </c>
      <c r="S67" s="10">
        <f>IF(AND(N67&lt;&gt;"",O67&lt;&gt;""),IF(N67&gt;O67,"Above","At/Below"),"N/A")</f>
        <v/>
      </c>
    </row>
    <row r="68">
      <c r="A68" s="6" t="inlineStr">
        <is>
          <t>TRD-000067</t>
        </is>
      </c>
      <c r="B68" s="6" t="inlineStr">
        <is>
          <t>2024-04-29</t>
        </is>
      </c>
      <c r="C68" s="6" t="inlineStr">
        <is>
          <t>2024-05-01</t>
        </is>
      </c>
      <c r="D68" s="6" t="inlineStr">
        <is>
          <t>Silver</t>
        </is>
      </c>
      <c r="E68" s="6" t="inlineStr">
        <is>
          <t>XAG</t>
        </is>
      </c>
      <c r="F68" s="6" t="inlineStr">
        <is>
          <t>Precious Metals</t>
        </is>
      </c>
      <c r="G68" s="6" t="inlineStr">
        <is>
          <t>PM-PROP-01</t>
        </is>
      </c>
      <c r="H68" s="6" t="inlineStr">
        <is>
          <t>A. Dubois</t>
        </is>
      </c>
      <c r="I68" s="6" t="inlineStr">
        <is>
          <t>BNP Paribas</t>
        </is>
      </c>
      <c r="J68" s="6" t="inlineStr">
        <is>
          <t>Sell</t>
        </is>
      </c>
      <c r="K68" s="6" t="inlineStr">
        <is>
          <t>Spot</t>
        </is>
      </c>
      <c r="L68" s="7" t="n">
        <v>42300</v>
      </c>
      <c r="M68" s="6" t="inlineStr">
        <is>
          <t>troy oz</t>
        </is>
      </c>
      <c r="N68" s="8" t="n">
        <v>28.8078</v>
      </c>
      <c r="O68" s="8" t="n">
        <v>28.7709</v>
      </c>
      <c r="P68" s="9" t="n">
        <v>1218569.94</v>
      </c>
      <c r="Q68" s="6" t="inlineStr">
        <is>
          <t>Confirmed</t>
        </is>
      </c>
      <c r="R68" s="6">
        <f>IFERROR(DATEVALUE(C68)-DATEVALUE(B68),"N/A")</f>
        <v/>
      </c>
      <c r="S68" s="6">
        <f>IF(AND(N68&lt;&gt;"",O68&lt;&gt;""),IF(N68&gt;O68,"Above","At/Below"),"N/A")</f>
        <v/>
      </c>
    </row>
    <row r="69">
      <c r="A69" s="10" t="inlineStr">
        <is>
          <t>TRD-000068</t>
        </is>
      </c>
      <c r="B69" s="10" t="inlineStr">
        <is>
          <t>2024-12-19</t>
        </is>
      </c>
      <c r="C69" s="10" t="inlineStr">
        <is>
          <t>2024-12-24</t>
        </is>
      </c>
      <c r="D69" s="10" t="inlineStr">
        <is>
          <t>Copper</t>
        </is>
      </c>
      <c r="E69" s="10" t="inlineStr">
        <is>
          <t>HG</t>
        </is>
      </c>
      <c r="F69" s="10" t="inlineStr">
        <is>
          <t>Base Metals</t>
        </is>
      </c>
      <c r="G69" s="10" t="inlineStr">
        <is>
          <t>BM-CLIENT-01</t>
        </is>
      </c>
      <c r="H69" s="10" t="inlineStr">
        <is>
          <t>J. Kowalski</t>
        </is>
      </c>
      <c r="I69" s="10" t="inlineStr">
        <is>
          <t>HSBC Metals</t>
        </is>
      </c>
      <c r="J69" s="10" t="inlineStr">
        <is>
          <t>Sell</t>
        </is>
      </c>
      <c r="K69" s="10" t="inlineStr">
        <is>
          <t>Forward</t>
        </is>
      </c>
      <c r="L69" s="11" t="n">
        <v>275</v>
      </c>
      <c r="M69" s="10" t="inlineStr">
        <is>
          <t>lbs</t>
        </is>
      </c>
      <c r="N69" s="12" t="n">
        <v>3.9848</v>
      </c>
      <c r="O69" s="12" t="n">
        <v>3.9759</v>
      </c>
      <c r="P69" s="13" t="n">
        <v>1095.82</v>
      </c>
      <c r="Q69" s="10" t="inlineStr">
        <is>
          <t>Confirmed</t>
        </is>
      </c>
      <c r="R69" s="10">
        <f>IFERROR(DATEVALUE(C69)-DATEVALUE(B69),"N/A")</f>
        <v/>
      </c>
      <c r="S69" s="10">
        <f>IF(AND(N69&lt;&gt;"",O69&lt;&gt;""),IF(N69&gt;O69,"Above","At/Below"),"N/A")</f>
        <v/>
      </c>
    </row>
    <row r="70">
      <c r="A70" s="6" t="inlineStr">
        <is>
          <t>TRD-000069</t>
        </is>
      </c>
      <c r="B70" s="6" t="inlineStr">
        <is>
          <t>2024-07-11</t>
        </is>
      </c>
      <c r="C70" s="6" t="inlineStr">
        <is>
          <t>2024-08-10</t>
        </is>
      </c>
      <c r="D70" s="6" t="inlineStr">
        <is>
          <t>Gold</t>
        </is>
      </c>
      <c r="E70" s="6" t="inlineStr">
        <is>
          <t>XAU</t>
        </is>
      </c>
      <c r="F70" s="6" t="inlineStr">
        <is>
          <t>Precious Metals</t>
        </is>
      </c>
      <c r="G70" s="6" t="inlineStr">
        <is>
          <t>PM-CLIENT-01</t>
        </is>
      </c>
      <c r="H70" s="6" t="inlineStr">
        <is>
          <t>A. Dubois</t>
        </is>
      </c>
      <c r="I70" s="6" t="inlineStr">
        <is>
          <t>Standard Chartered</t>
        </is>
      </c>
      <c r="J70" s="6" t="inlineStr">
        <is>
          <t>Buy</t>
        </is>
      </c>
      <c r="K70" s="6" t="inlineStr">
        <is>
          <t>Spot</t>
        </is>
      </c>
      <c r="L70" s="7" t="n">
        <v>38800</v>
      </c>
      <c r="M70" s="6" t="inlineStr">
        <is>
          <t>troy oz</t>
        </is>
      </c>
      <c r="N70" s="8" t="n">
        <v>2247.6951</v>
      </c>
      <c r="O70" s="8" t="n">
        <v>2241.9544</v>
      </c>
      <c r="P70" s="9" t="n">
        <v>87210569.88</v>
      </c>
      <c r="Q70" s="6" t="inlineStr">
        <is>
          <t>Cancelled</t>
        </is>
      </c>
      <c r="R70" s="6">
        <f>IFERROR(DATEVALUE(C70)-DATEVALUE(B70),"N/A")</f>
        <v/>
      </c>
      <c r="S70" s="6">
        <f>IF(AND(N70&lt;&gt;"",O70&lt;&gt;""),IF(N70&gt;O70,"Above","At/Below"),"N/A")</f>
        <v/>
      </c>
    </row>
    <row r="71">
      <c r="A71" s="10" t="inlineStr">
        <is>
          <t>TRD-000070</t>
        </is>
      </c>
      <c r="B71" s="10" t="inlineStr">
        <is>
          <t>2024-12-18</t>
        </is>
      </c>
      <c r="C71" s="10" t="inlineStr">
        <is>
          <t>2024-12-20</t>
        </is>
      </c>
      <c r="D71" s="10" t="inlineStr">
        <is>
          <t>Zinc</t>
        </is>
      </c>
      <c r="E71" s="10" t="inlineStr">
        <is>
          <t>ZN</t>
        </is>
      </c>
      <c r="F71" s="10" t="inlineStr">
        <is>
          <t>Base Metals</t>
        </is>
      </c>
      <c r="G71" s="10" t="inlineStr">
        <is>
          <t>BM-CLIENT-01</t>
        </is>
      </c>
      <c r="H71" s="10" t="inlineStr">
        <is>
          <t>S. Okonkwo</t>
        </is>
      </c>
      <c r="I71" s="10" t="inlineStr">
        <is>
          <t>UBS AG</t>
        </is>
      </c>
      <c r="J71" s="10" t="inlineStr">
        <is>
          <t>Sell</t>
        </is>
      </c>
      <c r="K71" s="10" t="inlineStr">
        <is>
          <t>Spot</t>
        </is>
      </c>
      <c r="L71" s="11" t="n">
        <v>2625</v>
      </c>
      <c r="M71" s="10" t="inlineStr">
        <is>
          <t>MT</t>
        </is>
      </c>
      <c r="N71" s="12" t="n">
        <v>2788.0637</v>
      </c>
      <c r="O71" s="12" t="n">
        <v>2791.6029</v>
      </c>
      <c r="P71" s="13" t="n">
        <v>7318667.21</v>
      </c>
      <c r="Q71" s="10" t="inlineStr">
        <is>
          <t>Confirmed</t>
        </is>
      </c>
      <c r="R71" s="10">
        <f>IFERROR(DATEVALUE(C71)-DATEVALUE(B71),"N/A")</f>
        <v/>
      </c>
      <c r="S71" s="10">
        <f>IF(AND(N71&lt;&gt;"",O71&lt;&gt;""),IF(N71&gt;O71,"Above","At/Below"),"N/A")</f>
        <v/>
      </c>
    </row>
    <row r="72">
      <c r="A72" s="6" t="inlineStr">
        <is>
          <t>TRD-000071</t>
        </is>
      </c>
      <c r="B72" s="6" t="inlineStr">
        <is>
          <t>2024-10-15</t>
        </is>
      </c>
      <c r="C72" s="6" t="inlineStr">
        <is>
          <t>2024-11-14</t>
        </is>
      </c>
      <c r="D72" s="6" t="inlineStr">
        <is>
          <t>Nickel</t>
        </is>
      </c>
      <c r="E72" s="6" t="inlineStr">
        <is>
          <t>NI</t>
        </is>
      </c>
      <c r="F72" s="6" t="inlineStr">
        <is>
          <t>Base Metals</t>
        </is>
      </c>
      <c r="G72" s="6" t="inlineStr">
        <is>
          <t>BM-HEDGE-01</t>
        </is>
      </c>
      <c r="H72" s="6" t="inlineStr">
        <is>
          <t>P. O'Brien</t>
        </is>
      </c>
      <c r="I72" s="6" t="inlineStr">
        <is>
          <t>Barclays Metals</t>
        </is>
      </c>
      <c r="J72" s="6" t="inlineStr">
        <is>
          <t>Sell</t>
        </is>
      </c>
      <c r="K72" s="6" t="inlineStr">
        <is>
          <t>Spot</t>
        </is>
      </c>
      <c r="L72" s="7" t="n">
        <v>575</v>
      </c>
      <c r="M72" s="6" t="inlineStr">
        <is>
          <t>MT</t>
        </is>
      </c>
      <c r="N72" s="8" t="n">
        <v>16669.384</v>
      </c>
      <c r="O72" s="8" t="n">
        <v>16689.22</v>
      </c>
      <c r="P72" s="9" t="n">
        <v>9584895.800000001</v>
      </c>
      <c r="Q72" s="6" t="inlineStr">
        <is>
          <t>Settled</t>
        </is>
      </c>
      <c r="R72" s="6">
        <f>IFERROR(DATEVALUE(C72)-DATEVALUE(B72),"N/A")</f>
        <v/>
      </c>
      <c r="S72" s="6">
        <f>IF(AND(N72&lt;&gt;"",O72&lt;&gt;""),IF(N72&gt;O72,"Above","At/Below"),"N/A")</f>
        <v/>
      </c>
    </row>
    <row r="73">
      <c r="A73" s="10" t="inlineStr">
        <is>
          <t>TRD-000072</t>
        </is>
      </c>
      <c r="B73" s="10" t="inlineStr">
        <is>
          <t>2024-11-27</t>
        </is>
      </c>
      <c r="C73" s="10" t="inlineStr">
        <is>
          <t>2024-12-02</t>
        </is>
      </c>
      <c r="D73" s="10" t="inlineStr">
        <is>
          <t>Gold</t>
        </is>
      </c>
      <c r="E73" s="10" t="inlineStr">
        <is>
          <t>XAU</t>
        </is>
      </c>
      <c r="F73" s="10" t="inlineStr">
        <is>
          <t>Precious Metals</t>
        </is>
      </c>
      <c r="G73" s="10" t="inlineStr">
        <is>
          <t>PM-CLIENT-01</t>
        </is>
      </c>
      <c r="H73" s="10" t="inlineStr">
        <is>
          <t>T. Vasquez</t>
        </is>
      </c>
      <c r="I73" s="10" t="inlineStr">
        <is>
          <t>Scotiabank</t>
        </is>
      </c>
      <c r="J73" s="10" t="inlineStr">
        <is>
          <t>Sell</t>
        </is>
      </c>
      <c r="K73" s="10" t="inlineStr">
        <is>
          <t>Forward</t>
        </is>
      </c>
      <c r="L73" s="11" t="n">
        <v>26600</v>
      </c>
      <c r="M73" s="10" t="inlineStr">
        <is>
          <t>troy oz</t>
        </is>
      </c>
      <c r="N73" s="12" t="n">
        <v>2248.5822</v>
      </c>
      <c r="O73" s="12" t="n">
        <v>2245.238</v>
      </c>
      <c r="P73" s="13" t="n">
        <v>59812286.52</v>
      </c>
      <c r="Q73" s="10" t="inlineStr">
        <is>
          <t>Confirmed</t>
        </is>
      </c>
      <c r="R73" s="10">
        <f>IFERROR(DATEVALUE(C73)-DATEVALUE(B73),"N/A")</f>
        <v/>
      </c>
      <c r="S73" s="10">
        <f>IF(AND(N73&lt;&gt;"",O73&lt;&gt;""),IF(N73&gt;O73,"Above","At/Below"),"N/A")</f>
        <v/>
      </c>
    </row>
    <row r="74">
      <c r="A74" s="6" t="inlineStr">
        <is>
          <t>TRD-000073</t>
        </is>
      </c>
      <c r="B74" s="6" t="inlineStr">
        <is>
          <t>2024-11-11</t>
        </is>
      </c>
      <c r="C74" s="6" t="inlineStr">
        <is>
          <t>2025-02-09</t>
        </is>
      </c>
      <c r="D74" s="6" t="inlineStr">
        <is>
          <t>Platinum</t>
        </is>
      </c>
      <c r="E74" s="6" t="inlineStr">
        <is>
          <t>XPT</t>
        </is>
      </c>
      <c r="F74" s="6" t="inlineStr">
        <is>
          <t>Precious Metals</t>
        </is>
      </c>
      <c r="G74" s="6" t="inlineStr">
        <is>
          <t>PM-HEDGE-01</t>
        </is>
      </c>
      <c r="H74" s="6" t="inlineStr">
        <is>
          <t>J. Kowalski</t>
        </is>
      </c>
      <c r="I74" s="6" t="inlineStr">
        <is>
          <t>Barclays Metals</t>
        </is>
      </c>
      <c r="J74" s="6" t="inlineStr">
        <is>
          <t>Buy</t>
        </is>
      </c>
      <c r="K74" s="6" t="inlineStr">
        <is>
          <t>Forward</t>
        </is>
      </c>
      <c r="L74" s="7" t="n">
        <v>1500</v>
      </c>
      <c r="M74" s="6" t="inlineStr">
        <is>
          <t>troy oz</t>
        </is>
      </c>
      <c r="N74" s="8" t="n">
        <v>978.6733</v>
      </c>
      <c r="O74" s="8" t="n">
        <v>978.5018</v>
      </c>
      <c r="P74" s="9" t="n">
        <v>1468009.95</v>
      </c>
      <c r="Q74" s="6" t="inlineStr">
        <is>
          <t>Confirmed</t>
        </is>
      </c>
      <c r="R74" s="6">
        <f>IFERROR(DATEVALUE(C74)-DATEVALUE(B74),"N/A")</f>
        <v/>
      </c>
      <c r="S74" s="6">
        <f>IF(AND(N74&lt;&gt;"",O74&lt;&gt;""),IF(N74&gt;O74,"Above","At/Below"),"N/A")</f>
        <v/>
      </c>
    </row>
    <row r="75">
      <c r="A75" s="10" t="inlineStr">
        <is>
          <t>TRD-000074</t>
        </is>
      </c>
      <c r="B75" s="10" t="inlineStr">
        <is>
          <t>2024-11-27</t>
        </is>
      </c>
      <c r="C75" s="10" t="inlineStr">
        <is>
          <t>2024-11-29</t>
        </is>
      </c>
      <c r="D75" s="10" t="inlineStr">
        <is>
          <t>Palladium</t>
        </is>
      </c>
      <c r="E75" s="10" t="inlineStr">
        <is>
          <t>XPD</t>
        </is>
      </c>
      <c r="F75" s="10" t="inlineStr">
        <is>
          <t>Precious Metals</t>
        </is>
      </c>
      <c r="G75" s="10" t="inlineStr">
        <is>
          <t>PM-PROP-01</t>
        </is>
      </c>
      <c r="H75" s="10" t="inlineStr">
        <is>
          <t>A. Dubois</t>
        </is>
      </c>
      <c r="I75" s="10" t="inlineStr">
        <is>
          <t>Deutsche Bank</t>
        </is>
      </c>
      <c r="J75" s="10" t="inlineStr">
        <is>
          <t>Sell</t>
        </is>
      </c>
      <c r="K75" s="10" t="inlineStr">
        <is>
          <t>Swap</t>
        </is>
      </c>
      <c r="L75" s="11" t="n">
        <v>7900</v>
      </c>
      <c r="M75" s="10" t="inlineStr">
        <is>
          <t>troy oz</t>
        </is>
      </c>
      <c r="N75" s="12" t="n">
        <v>1065.5553</v>
      </c>
      <c r="O75" s="12" t="n">
        <v>1065.5095</v>
      </c>
      <c r="P75" s="13" t="n">
        <v>8417886.869999999</v>
      </c>
      <c r="Q75" s="10" t="inlineStr">
        <is>
          <t>Settled</t>
        </is>
      </c>
      <c r="R75" s="10">
        <f>IFERROR(DATEVALUE(C75)-DATEVALUE(B75),"N/A")</f>
        <v/>
      </c>
      <c r="S75" s="10">
        <f>IF(AND(N75&lt;&gt;"",O75&lt;&gt;""),IF(N75&gt;O75,"Above","At/Below"),"N/A")</f>
        <v/>
      </c>
    </row>
    <row r="76">
      <c r="A76" s="6" t="inlineStr">
        <is>
          <t>TRD-000075</t>
        </is>
      </c>
      <c r="B76" s="6" t="inlineStr">
        <is>
          <t>2024-11-22</t>
        </is>
      </c>
      <c r="C76" s="6" t="inlineStr">
        <is>
          <t>2024-12-22</t>
        </is>
      </c>
      <c r="D76" s="6" t="inlineStr">
        <is>
          <t>Nickel</t>
        </is>
      </c>
      <c r="E76" s="6" t="inlineStr">
        <is>
          <t>NI</t>
        </is>
      </c>
      <c r="F76" s="6" t="inlineStr">
        <is>
          <t>Base Metals</t>
        </is>
      </c>
      <c r="G76" s="6" t="inlineStr">
        <is>
          <t>BM-PROP-01</t>
        </is>
      </c>
      <c r="H76" s="6" t="inlineStr">
        <is>
          <t>P. O'Brien</t>
        </is>
      </c>
      <c r="I76" s="6" t="inlineStr">
        <is>
          <t>UBS AG</t>
        </is>
      </c>
      <c r="J76" s="6" t="inlineStr">
        <is>
          <t>Buy</t>
        </is>
      </c>
      <c r="K76" s="6" t="inlineStr">
        <is>
          <t>Option</t>
        </is>
      </c>
      <c r="L76" s="7" t="n">
        <v>1225</v>
      </c>
      <c r="M76" s="6" t="inlineStr">
        <is>
          <t>MT</t>
        </is>
      </c>
      <c r="N76" s="8" t="n">
        <v>16877.0049</v>
      </c>
      <c r="O76" s="8" t="n">
        <v>16878.1234</v>
      </c>
      <c r="P76" s="9" t="n">
        <v>20674331</v>
      </c>
      <c r="Q76" s="6" t="inlineStr">
        <is>
          <t>Settled</t>
        </is>
      </c>
      <c r="R76" s="6">
        <f>IFERROR(DATEVALUE(C76)-DATEVALUE(B76),"N/A")</f>
        <v/>
      </c>
      <c r="S76" s="6">
        <f>IF(AND(N76&lt;&gt;"",O76&lt;&gt;""),IF(N76&gt;O76,"Above","At/Below"),"N/A")</f>
        <v/>
      </c>
    </row>
    <row r="77">
      <c r="A77" s="10" t="inlineStr">
        <is>
          <t>TRD-000076</t>
        </is>
      </c>
      <c r="B77" s="10" t="inlineStr">
        <is>
          <t>2024-07-22</t>
        </is>
      </c>
      <c r="C77" s="10" t="inlineStr">
        <is>
          <t>2024-10-20</t>
        </is>
      </c>
      <c r="D77" s="10" t="inlineStr">
        <is>
          <t>Copper</t>
        </is>
      </c>
      <c r="E77" s="10" t="inlineStr">
        <is>
          <t>HG</t>
        </is>
      </c>
      <c r="F77" s="10" t="inlineStr">
        <is>
          <t>Base Metals</t>
        </is>
      </c>
      <c r="G77" s="10" t="inlineStr">
        <is>
          <t>BM-PROP-01</t>
        </is>
      </c>
      <c r="H77" s="10" t="inlineStr">
        <is>
          <t>T. Vasquez</t>
        </is>
      </c>
      <c r="I77" s="10" t="inlineStr">
        <is>
          <t>UBS AG</t>
        </is>
      </c>
      <c r="J77" s="10" t="inlineStr">
        <is>
          <t>Sell</t>
        </is>
      </c>
      <c r="K77" s="10" t="inlineStr">
        <is>
          <t>Option</t>
        </is>
      </c>
      <c r="L77" s="11" t="n">
        <v>3775</v>
      </c>
      <c r="M77" s="10" t="inlineStr">
        <is>
          <t>lbs</t>
        </is>
      </c>
      <c r="N77" s="12" t="n">
        <v>4.071</v>
      </c>
      <c r="O77" s="12" t="n">
        <v>4.0664</v>
      </c>
      <c r="P77" s="13" t="n">
        <v>15368.02</v>
      </c>
      <c r="Q77" s="10" t="inlineStr">
        <is>
          <t>Confirmed</t>
        </is>
      </c>
      <c r="R77" s="10">
        <f>IFERROR(DATEVALUE(C77)-DATEVALUE(B77),"N/A")</f>
        <v/>
      </c>
      <c r="S77" s="10">
        <f>IF(AND(N77&lt;&gt;"",O77&lt;&gt;""),IF(N77&gt;O77,"Above","At/Below"),"N/A")</f>
        <v/>
      </c>
    </row>
    <row r="78">
      <c r="A78" s="6" t="inlineStr">
        <is>
          <t>TRD-000077</t>
        </is>
      </c>
      <c r="B78" s="6" t="inlineStr">
        <is>
          <t>2024-08-19</t>
        </is>
      </c>
      <c r="C78" s="6" t="inlineStr">
        <is>
          <t>2024-08-21</t>
        </is>
      </c>
      <c r="D78" s="6" t="inlineStr">
        <is>
          <t>Zinc</t>
        </is>
      </c>
      <c r="E78" s="6" t="inlineStr">
        <is>
          <t>ZN</t>
        </is>
      </c>
      <c r="F78" s="6" t="inlineStr">
        <is>
          <t>Base Metals</t>
        </is>
      </c>
      <c r="G78" s="6" t="inlineStr">
        <is>
          <t>BM-HEDGE-01</t>
        </is>
      </c>
      <c r="H78" s="6" t="inlineStr">
        <is>
          <t>J. Kowalski</t>
        </is>
      </c>
      <c r="I78" s="6" t="inlineStr">
        <is>
          <t>UBS AG</t>
        </is>
      </c>
      <c r="J78" s="6" t="inlineStr">
        <is>
          <t>Sell</t>
        </is>
      </c>
      <c r="K78" s="6" t="inlineStr">
        <is>
          <t>Spot</t>
        </is>
      </c>
      <c r="L78" s="7" t="n">
        <v>1550</v>
      </c>
      <c r="M78" s="6" t="inlineStr">
        <is>
          <t>MT</t>
        </is>
      </c>
      <c r="N78" s="8" t="n">
        <v>2944.6791</v>
      </c>
      <c r="O78" s="8" t="n">
        <v>2934.6169</v>
      </c>
      <c r="P78" s="9" t="n">
        <v>4564252.6</v>
      </c>
      <c r="Q78" s="6" t="inlineStr">
        <is>
          <t>Pending</t>
        </is>
      </c>
      <c r="R78" s="6">
        <f>IFERROR(DATEVALUE(C78)-DATEVALUE(B78),"N/A")</f>
        <v/>
      </c>
      <c r="S78" s="6">
        <f>IF(AND(N78&lt;&gt;"",O78&lt;&gt;""),IF(N78&gt;O78,"Above","At/Below"),"N/A")</f>
        <v/>
      </c>
    </row>
    <row r="79">
      <c r="A79" s="10" t="inlineStr">
        <is>
          <t>TRD-000078</t>
        </is>
      </c>
      <c r="B79" s="10" t="inlineStr">
        <is>
          <t>2024-04-18</t>
        </is>
      </c>
      <c r="C79" s="10" t="inlineStr">
        <is>
          <t>2024-04-23</t>
        </is>
      </c>
      <c r="D79" s="10" t="inlineStr">
        <is>
          <t>Zinc</t>
        </is>
      </c>
      <c r="E79" s="10" t="inlineStr">
        <is>
          <t>ZN</t>
        </is>
      </c>
      <c r="F79" s="10" t="inlineStr">
        <is>
          <t>Base Metals</t>
        </is>
      </c>
      <c r="G79" s="10" t="inlineStr">
        <is>
          <t>BM-HEDGE-01</t>
        </is>
      </c>
      <c r="H79" s="10" t="inlineStr">
        <is>
          <t>T. Vasquez</t>
        </is>
      </c>
      <c r="I79" s="10" t="inlineStr">
        <is>
          <t>HSBC Metals</t>
        </is>
      </c>
      <c r="J79" s="10" t="inlineStr">
        <is>
          <t>Sell</t>
        </is>
      </c>
      <c r="K79" s="10" t="inlineStr">
        <is>
          <t>Option</t>
        </is>
      </c>
      <c r="L79" s="11" t="n">
        <v>825</v>
      </c>
      <c r="M79" s="10" t="inlineStr">
        <is>
          <t>MT</t>
        </is>
      </c>
      <c r="N79" s="12" t="n">
        <v>2942.2211</v>
      </c>
      <c r="O79" s="12" t="n">
        <v>2930.1508</v>
      </c>
      <c r="P79" s="13" t="n">
        <v>2427332.41</v>
      </c>
      <c r="Q79" s="10" t="inlineStr">
        <is>
          <t>Confirmed</t>
        </is>
      </c>
      <c r="R79" s="10">
        <f>IFERROR(DATEVALUE(C79)-DATEVALUE(B79),"N/A")</f>
        <v/>
      </c>
      <c r="S79" s="10">
        <f>IF(AND(N79&lt;&gt;"",O79&lt;&gt;""),IF(N79&gt;O79,"Above","At/Below"),"N/A")</f>
        <v/>
      </c>
    </row>
    <row r="80">
      <c r="A80" s="6" t="inlineStr">
        <is>
          <t>TRD-000079</t>
        </is>
      </c>
      <c r="B80" s="6" t="inlineStr">
        <is>
          <t>2024-04-12</t>
        </is>
      </c>
      <c r="C80" s="6" t="inlineStr">
        <is>
          <t>2024-04-17</t>
        </is>
      </c>
      <c r="D80" s="6" t="inlineStr">
        <is>
          <t>Nickel</t>
        </is>
      </c>
      <c r="E80" s="6" t="inlineStr">
        <is>
          <t>NI</t>
        </is>
      </c>
      <c r="F80" s="6" t="inlineStr">
        <is>
          <t>Base Metals</t>
        </is>
      </c>
      <c r="G80" s="6" t="inlineStr">
        <is>
          <t>BM-PROP-01</t>
        </is>
      </c>
      <c r="H80" s="6" t="inlineStr">
        <is>
          <t>R. Nakamura</t>
        </is>
      </c>
      <c r="I80" s="6" t="inlineStr">
        <is>
          <t>Goldman Sachs</t>
        </is>
      </c>
      <c r="J80" s="6" t="inlineStr">
        <is>
          <t>Buy</t>
        </is>
      </c>
      <c r="K80" s="6" t="inlineStr">
        <is>
          <t>Spot</t>
        </is>
      </c>
      <c r="L80" s="7" t="n">
        <v>1000</v>
      </c>
      <c r="M80" s="6" t="inlineStr">
        <is>
          <t>MT</t>
        </is>
      </c>
      <c r="N80" s="8" t="n">
        <v>18235.9659</v>
      </c>
      <c r="O80" s="8" t="n">
        <v>18149.1327</v>
      </c>
      <c r="P80" s="9" t="n">
        <v>18235965.9</v>
      </c>
      <c r="Q80" s="6" t="inlineStr">
        <is>
          <t>Pending</t>
        </is>
      </c>
      <c r="R80" s="6">
        <f>IFERROR(DATEVALUE(C80)-DATEVALUE(B80),"N/A")</f>
        <v/>
      </c>
      <c r="S80" s="6">
        <f>IF(AND(N80&lt;&gt;"",O80&lt;&gt;""),IF(N80&gt;O80,"Above","At/Below"),"N/A")</f>
        <v/>
      </c>
    </row>
    <row r="81">
      <c r="A81" s="10" t="inlineStr">
        <is>
          <t>TRD-000080</t>
        </is>
      </c>
      <c r="B81" s="10" t="inlineStr">
        <is>
          <t>2024-09-30</t>
        </is>
      </c>
      <c r="C81" s="10" t="inlineStr">
        <is>
          <t>2024-10-02</t>
        </is>
      </c>
      <c r="D81" s="10" t="inlineStr">
        <is>
          <t>Silver</t>
        </is>
      </c>
      <c r="E81" s="10" t="inlineStr">
        <is>
          <t>XAG</t>
        </is>
      </c>
      <c r="F81" s="10" t="inlineStr">
        <is>
          <t>Precious Metals</t>
        </is>
      </c>
      <c r="G81" s="10" t="inlineStr">
        <is>
          <t>PM-HEDGE-01</t>
        </is>
      </c>
      <c r="H81" s="10" t="inlineStr">
        <is>
          <t>M. Patel</t>
        </is>
      </c>
      <c r="I81" s="10" t="inlineStr">
        <is>
          <t>Citibank NA</t>
        </is>
      </c>
      <c r="J81" s="10" t="inlineStr">
        <is>
          <t>Sell</t>
        </is>
      </c>
      <c r="K81" s="10" t="inlineStr">
        <is>
          <t>Option</t>
        </is>
      </c>
      <c r="L81" s="11" t="n">
        <v>45500</v>
      </c>
      <c r="M81" s="10" t="inlineStr">
        <is>
          <t>troy oz</t>
        </is>
      </c>
      <c r="N81" s="12" t="n">
        <v>28.8109</v>
      </c>
      <c r="O81" s="12" t="n">
        <v>28.8614</v>
      </c>
      <c r="P81" s="13" t="n">
        <v>1310895.95</v>
      </c>
      <c r="Q81" s="10" t="inlineStr">
        <is>
          <t>Pending</t>
        </is>
      </c>
      <c r="R81" s="10">
        <f>IFERROR(DATEVALUE(C81)-DATEVALUE(B81),"N/A")</f>
        <v/>
      </c>
      <c r="S81" s="10">
        <f>IF(AND(N81&lt;&gt;"",O81&lt;&gt;""),IF(N81&gt;O81,"Above","At/Below"),"N/A")</f>
        <v/>
      </c>
    </row>
    <row r="82">
      <c r="A82" s="6" t="inlineStr">
        <is>
          <t>TRD-000081</t>
        </is>
      </c>
      <c r="B82" s="6" t="inlineStr">
        <is>
          <t>2024-03-06</t>
        </is>
      </c>
      <c r="C82" s="6" t="inlineStr">
        <is>
          <t>2024-03-11</t>
        </is>
      </c>
      <c r="D82" s="6" t="inlineStr">
        <is>
          <t>Copper</t>
        </is>
      </c>
      <c r="E82" s="6" t="inlineStr">
        <is>
          <t>HG</t>
        </is>
      </c>
      <c r="F82" s="6" t="inlineStr">
        <is>
          <t>Base Metals</t>
        </is>
      </c>
      <c r="G82" s="6" t="inlineStr">
        <is>
          <t>BM-PROP-01</t>
        </is>
      </c>
      <c r="H82" s="6" t="inlineStr">
        <is>
          <t>J. Kowalski</t>
        </is>
      </c>
      <c r="I82" s="6" t="inlineStr">
        <is>
          <t>Scotiabank</t>
        </is>
      </c>
      <c r="J82" s="6" t="inlineStr">
        <is>
          <t>Buy</t>
        </is>
      </c>
      <c r="K82" s="6" t="inlineStr">
        <is>
          <t>Spot</t>
        </is>
      </c>
      <c r="L82" s="7" t="n">
        <v>4875</v>
      </c>
      <c r="M82" s="6" t="inlineStr">
        <is>
          <t>lbs</t>
        </is>
      </c>
      <c r="N82" s="8" t="n">
        <v>4.3609</v>
      </c>
      <c r="O82" s="8" t="n">
        <v>4.3485</v>
      </c>
      <c r="P82" s="9" t="n">
        <v>21259.39</v>
      </c>
      <c r="Q82" s="6" t="inlineStr">
        <is>
          <t>Confirmed</t>
        </is>
      </c>
      <c r="R82" s="6">
        <f>IFERROR(DATEVALUE(C82)-DATEVALUE(B82),"N/A")</f>
        <v/>
      </c>
      <c r="S82" s="6">
        <f>IF(AND(N82&lt;&gt;"",O82&lt;&gt;""),IF(N82&gt;O82,"Above","At/Below"),"N/A")</f>
        <v/>
      </c>
    </row>
    <row r="83">
      <c r="A83" s="10" t="inlineStr">
        <is>
          <t>TRD-000082</t>
        </is>
      </c>
      <c r="B83" s="10" t="inlineStr">
        <is>
          <t>2024-09-13</t>
        </is>
      </c>
      <c r="C83" s="10" t="inlineStr">
        <is>
          <t>2024-09-15</t>
        </is>
      </c>
      <c r="D83" s="10" t="inlineStr">
        <is>
          <t>Gold</t>
        </is>
      </c>
      <c r="E83" s="10" t="inlineStr">
        <is>
          <t>XAU</t>
        </is>
      </c>
      <c r="F83" s="10" t="inlineStr">
        <is>
          <t>Precious Metals</t>
        </is>
      </c>
      <c r="G83" s="10" t="inlineStr">
        <is>
          <t>PM-HEDGE-01</t>
        </is>
      </c>
      <c r="H83" s="10" t="inlineStr">
        <is>
          <t>S. Okonkwo</t>
        </is>
      </c>
      <c r="I83" s="10" t="inlineStr">
        <is>
          <t>Standard Chartered</t>
        </is>
      </c>
      <c r="J83" s="10" t="inlineStr">
        <is>
          <t>Sell</t>
        </is>
      </c>
      <c r="K83" s="10" t="inlineStr">
        <is>
          <t>Forward</t>
        </is>
      </c>
      <c r="L83" s="11" t="n">
        <v>12600</v>
      </c>
      <c r="M83" s="10" t="inlineStr">
        <is>
          <t>troy oz</t>
        </is>
      </c>
      <c r="N83" s="12" t="n">
        <v>2341.9906</v>
      </c>
      <c r="O83" s="12" t="n">
        <v>2333.7114</v>
      </c>
      <c r="P83" s="13" t="n">
        <v>29509081.56</v>
      </c>
      <c r="Q83" s="10" t="inlineStr">
        <is>
          <t>Confirmed</t>
        </is>
      </c>
      <c r="R83" s="10">
        <f>IFERROR(DATEVALUE(C83)-DATEVALUE(B83),"N/A")</f>
        <v/>
      </c>
      <c r="S83" s="10">
        <f>IF(AND(N83&lt;&gt;"",O83&lt;&gt;""),IF(N83&gt;O83,"Above","At/Below"),"N/A")</f>
        <v/>
      </c>
    </row>
    <row r="84">
      <c r="A84" s="6" t="inlineStr">
        <is>
          <t>TRD-000083</t>
        </is>
      </c>
      <c r="B84" s="6" t="inlineStr">
        <is>
          <t>2024-06-21</t>
        </is>
      </c>
      <c r="C84" s="6" t="inlineStr">
        <is>
          <t>2024-06-26</t>
        </is>
      </c>
      <c r="D84" s="6" t="inlineStr">
        <is>
          <t>Zinc</t>
        </is>
      </c>
      <c r="E84" s="6" t="inlineStr">
        <is>
          <t>ZN</t>
        </is>
      </c>
      <c r="F84" s="6" t="inlineStr">
        <is>
          <t>Base Metals</t>
        </is>
      </c>
      <c r="G84" s="6" t="inlineStr">
        <is>
          <t>BM-CLIENT-01</t>
        </is>
      </c>
      <c r="H84" s="6" t="inlineStr">
        <is>
          <t>A. Dubois</t>
        </is>
      </c>
      <c r="I84" s="6" t="inlineStr">
        <is>
          <t>Morgan Stanley</t>
        </is>
      </c>
      <c r="J84" s="6" t="inlineStr">
        <is>
          <t>Buy</t>
        </is>
      </c>
      <c r="K84" s="6" t="inlineStr">
        <is>
          <t>Spot</t>
        </is>
      </c>
      <c r="L84" s="7" t="n">
        <v>925</v>
      </c>
      <c r="M84" s="6" t="inlineStr">
        <is>
          <t>MT</t>
        </is>
      </c>
      <c r="N84" s="8" t="n">
        <v>2914.9444</v>
      </c>
      <c r="O84" s="8" t="n">
        <v>2915.5921</v>
      </c>
      <c r="P84" s="9" t="n">
        <v>2696323.57</v>
      </c>
      <c r="Q84" s="6" t="inlineStr">
        <is>
          <t>Confirmed</t>
        </is>
      </c>
      <c r="R84" s="6">
        <f>IFERROR(DATEVALUE(C84)-DATEVALUE(B84),"N/A")</f>
        <v/>
      </c>
      <c r="S84" s="6">
        <f>IF(AND(N84&lt;&gt;"",O84&lt;&gt;""),IF(N84&gt;O84,"Above","At/Below"),"N/A")</f>
        <v/>
      </c>
    </row>
    <row r="85">
      <c r="A85" s="10" t="inlineStr">
        <is>
          <t>TRD-000084</t>
        </is>
      </c>
      <c r="B85" s="10" t="inlineStr">
        <is>
          <t>2024-04-23</t>
        </is>
      </c>
      <c r="C85" s="10" t="inlineStr">
        <is>
          <t>2024-04-25</t>
        </is>
      </c>
      <c r="D85" s="10" t="inlineStr">
        <is>
          <t>Nickel</t>
        </is>
      </c>
      <c r="E85" s="10" t="inlineStr">
        <is>
          <t>NI</t>
        </is>
      </c>
      <c r="F85" s="10" t="inlineStr">
        <is>
          <t>Base Metals</t>
        </is>
      </c>
      <c r="G85" s="10" t="inlineStr">
        <is>
          <t>BM-HEDGE-01</t>
        </is>
      </c>
      <c r="H85" s="10" t="inlineStr">
        <is>
          <t>A. Dubois</t>
        </is>
      </c>
      <c r="I85" s="10" t="inlineStr">
        <is>
          <t>TD Securities</t>
        </is>
      </c>
      <c r="J85" s="10" t="inlineStr">
        <is>
          <t>Sell</t>
        </is>
      </c>
      <c r="K85" s="10" t="inlineStr">
        <is>
          <t>Forward</t>
        </is>
      </c>
      <c r="L85" s="11" t="n">
        <v>2225</v>
      </c>
      <c r="M85" s="10" t="inlineStr">
        <is>
          <t>MT</t>
        </is>
      </c>
      <c r="N85" s="12" t="n">
        <v>17414.906</v>
      </c>
      <c r="O85" s="12" t="n">
        <v>17398.0271</v>
      </c>
      <c r="P85" s="13" t="n">
        <v>38748165.85</v>
      </c>
      <c r="Q85" s="10" t="inlineStr">
        <is>
          <t>Settled</t>
        </is>
      </c>
      <c r="R85" s="10">
        <f>IFERROR(DATEVALUE(C85)-DATEVALUE(B85),"N/A")</f>
        <v/>
      </c>
      <c r="S85" s="10">
        <f>IF(AND(N85&lt;&gt;"",O85&lt;&gt;""),IF(N85&gt;O85,"Above","At/Below"),"N/A")</f>
        <v/>
      </c>
    </row>
    <row r="86">
      <c r="A86" s="6" t="inlineStr">
        <is>
          <t>TRD-000085</t>
        </is>
      </c>
      <c r="B86" s="6" t="inlineStr">
        <is>
          <t>2024-12-12</t>
        </is>
      </c>
      <c r="C86" s="6" t="inlineStr">
        <is>
          <t>2024-12-14</t>
        </is>
      </c>
      <c r="D86" s="6" t="inlineStr">
        <is>
          <t>Palladium</t>
        </is>
      </c>
      <c r="E86" s="6" t="inlineStr">
        <is>
          <t>XPD</t>
        </is>
      </c>
      <c r="F86" s="6" t="inlineStr">
        <is>
          <t>Precious Metals</t>
        </is>
      </c>
      <c r="G86" s="6" t="inlineStr">
        <is>
          <t>PM-HEDGE-01</t>
        </is>
      </c>
      <c r="H86" s="6" t="inlineStr">
        <is>
          <t>A. Dubois</t>
        </is>
      </c>
      <c r="I86" s="6" t="inlineStr">
        <is>
          <t>Scotiabank</t>
        </is>
      </c>
      <c r="J86" s="6" t="inlineStr">
        <is>
          <t>Sell</t>
        </is>
      </c>
      <c r="K86" s="6" t="inlineStr">
        <is>
          <t>Forward</t>
        </is>
      </c>
      <c r="L86" s="7" t="n">
        <v>29300</v>
      </c>
      <c r="M86" s="6" t="inlineStr">
        <is>
          <t>troy oz</t>
        </is>
      </c>
      <c r="N86" s="8" t="n">
        <v>1027.4663</v>
      </c>
      <c r="O86" s="8" t="n">
        <v>1022.4066</v>
      </c>
      <c r="P86" s="9" t="n">
        <v>30104762.59</v>
      </c>
      <c r="Q86" s="6" t="inlineStr">
        <is>
          <t>Cancelled</t>
        </is>
      </c>
      <c r="R86" s="6">
        <f>IFERROR(DATEVALUE(C86)-DATEVALUE(B86),"N/A")</f>
        <v/>
      </c>
      <c r="S86" s="6">
        <f>IF(AND(N86&lt;&gt;"",O86&lt;&gt;""),IF(N86&gt;O86,"Above","At/Below"),"N/A")</f>
        <v/>
      </c>
    </row>
    <row r="87">
      <c r="A87" s="10" t="inlineStr">
        <is>
          <t>TRD-000086</t>
        </is>
      </c>
      <c r="B87" s="10" t="inlineStr">
        <is>
          <t>2024-01-08</t>
        </is>
      </c>
      <c r="C87" s="10" t="inlineStr">
        <is>
          <t>2024-02-07</t>
        </is>
      </c>
      <c r="D87" s="10" t="inlineStr">
        <is>
          <t>Zinc</t>
        </is>
      </c>
      <c r="E87" s="10" t="inlineStr">
        <is>
          <t>ZN</t>
        </is>
      </c>
      <c r="F87" s="10" t="inlineStr">
        <is>
          <t>Base Metals</t>
        </is>
      </c>
      <c r="G87" s="10" t="inlineStr">
        <is>
          <t>BM-HEDGE-01</t>
        </is>
      </c>
      <c r="H87" s="10" t="inlineStr">
        <is>
          <t>A. Dubois</t>
        </is>
      </c>
      <c r="I87" s="10" t="inlineStr">
        <is>
          <t>Citibank NA</t>
        </is>
      </c>
      <c r="J87" s="10" t="inlineStr">
        <is>
          <t>Buy</t>
        </is>
      </c>
      <c r="K87" s="10" t="inlineStr">
        <is>
          <t>Swap</t>
        </is>
      </c>
      <c r="L87" s="11" t="n">
        <v>5000</v>
      </c>
      <c r="M87" s="10" t="inlineStr">
        <is>
          <t>MT</t>
        </is>
      </c>
      <c r="N87" s="12" t="n">
        <v>2911.553</v>
      </c>
      <c r="O87" s="12" t="n">
        <v>2902.2189</v>
      </c>
      <c r="P87" s="13" t="n">
        <v>14557765</v>
      </c>
      <c r="Q87" s="10" t="inlineStr">
        <is>
          <t>Pending</t>
        </is>
      </c>
      <c r="R87" s="10">
        <f>IFERROR(DATEVALUE(C87)-DATEVALUE(B87),"N/A")</f>
        <v/>
      </c>
      <c r="S87" s="10">
        <f>IF(AND(N87&lt;&gt;"",O87&lt;&gt;""),IF(N87&gt;O87,"Above","At/Below"),"N/A")</f>
        <v/>
      </c>
    </row>
    <row r="88">
      <c r="A88" s="6" t="inlineStr">
        <is>
          <t>TRD-000087</t>
        </is>
      </c>
      <c r="B88" s="6" t="inlineStr">
        <is>
          <t>2024-05-16</t>
        </is>
      </c>
      <c r="C88" s="6" t="inlineStr">
        <is>
          <t>2024-06-15</t>
        </is>
      </c>
      <c r="D88" s="6" t="inlineStr">
        <is>
          <t>Aluminium</t>
        </is>
      </c>
      <c r="E88" s="6" t="inlineStr">
        <is>
          <t>AL</t>
        </is>
      </c>
      <c r="F88" s="6" t="inlineStr">
        <is>
          <t>Base Metals</t>
        </is>
      </c>
      <c r="G88" s="6" t="inlineStr">
        <is>
          <t>BM-PROP-01</t>
        </is>
      </c>
      <c r="H88" s="6" t="inlineStr">
        <is>
          <t>J. Kowalski</t>
        </is>
      </c>
      <c r="I88" s="6" t="inlineStr">
        <is>
          <t>JPMorgan Commodities</t>
        </is>
      </c>
      <c r="J88" s="6" t="inlineStr">
        <is>
          <t>Buy</t>
        </is>
      </c>
      <c r="K88" s="6" t="inlineStr">
        <is>
          <t>Forward</t>
        </is>
      </c>
      <c r="L88" s="7" t="n">
        <v>4850</v>
      </c>
      <c r="M88" s="6" t="inlineStr">
        <is>
          <t>MT</t>
        </is>
      </c>
      <c r="N88" s="8" t="n">
        <v>2399.2328</v>
      </c>
      <c r="O88" s="8" t="n">
        <v>2388.9036</v>
      </c>
      <c r="P88" s="9" t="n">
        <v>11636279.08</v>
      </c>
      <c r="Q88" s="6" t="inlineStr">
        <is>
          <t>Settled</t>
        </is>
      </c>
      <c r="R88" s="6">
        <f>IFERROR(DATEVALUE(C88)-DATEVALUE(B88),"N/A")</f>
        <v/>
      </c>
      <c r="S88" s="6">
        <f>IF(AND(N88&lt;&gt;"",O88&lt;&gt;""),IF(N88&gt;O88,"Above","At/Below"),"N/A")</f>
        <v/>
      </c>
    </row>
    <row r="89">
      <c r="A89" s="10" t="inlineStr">
        <is>
          <t>TRD-000088</t>
        </is>
      </c>
      <c r="B89" s="10" t="inlineStr">
        <is>
          <t>2024-09-18</t>
        </is>
      </c>
      <c r="C89" s="10" t="inlineStr">
        <is>
          <t>2024-12-17</t>
        </is>
      </c>
      <c r="D89" s="10" t="inlineStr">
        <is>
          <t>Gold</t>
        </is>
      </c>
      <c r="E89" s="10" t="inlineStr">
        <is>
          <t>XAU</t>
        </is>
      </c>
      <c r="F89" s="10" t="inlineStr">
        <is>
          <t>Precious Metals</t>
        </is>
      </c>
      <c r="G89" s="10" t="inlineStr">
        <is>
          <t>PM-CLIENT-01</t>
        </is>
      </c>
      <c r="H89" s="10" t="inlineStr">
        <is>
          <t>L. Chen</t>
        </is>
      </c>
      <c r="I89" s="10" t="inlineStr">
        <is>
          <t>Standard Chartered</t>
        </is>
      </c>
      <c r="J89" s="10" t="inlineStr">
        <is>
          <t>Sell</t>
        </is>
      </c>
      <c r="K89" s="10" t="inlineStr">
        <is>
          <t>Spot</t>
        </is>
      </c>
      <c r="L89" s="11" t="n">
        <v>46600</v>
      </c>
      <c r="M89" s="10" t="inlineStr">
        <is>
          <t>troy oz</t>
        </is>
      </c>
      <c r="N89" s="12" t="n">
        <v>2265.4381</v>
      </c>
      <c r="O89" s="12" t="n">
        <v>2263.3818</v>
      </c>
      <c r="P89" s="13" t="n">
        <v>105569415.46</v>
      </c>
      <c r="Q89" s="10" t="inlineStr">
        <is>
          <t>Settled</t>
        </is>
      </c>
      <c r="R89" s="10">
        <f>IFERROR(DATEVALUE(C89)-DATEVALUE(B89),"N/A")</f>
        <v/>
      </c>
      <c r="S89" s="10">
        <f>IF(AND(N89&lt;&gt;"",O89&lt;&gt;""),IF(N89&gt;O89,"Above","At/Below"),"N/A")</f>
        <v/>
      </c>
    </row>
    <row r="90">
      <c r="A90" s="6" t="inlineStr">
        <is>
          <t>TRD-000089</t>
        </is>
      </c>
      <c r="B90" s="6" t="inlineStr">
        <is>
          <t>2024-12-25</t>
        </is>
      </c>
      <c r="C90" s="6" t="inlineStr">
        <is>
          <t>2024-12-27</t>
        </is>
      </c>
      <c r="D90" s="6" t="inlineStr">
        <is>
          <t>Aluminium</t>
        </is>
      </c>
      <c r="E90" s="6" t="inlineStr">
        <is>
          <t>AL</t>
        </is>
      </c>
      <c r="F90" s="6" t="inlineStr">
        <is>
          <t>Base Metals</t>
        </is>
      </c>
      <c r="G90" s="6" t="inlineStr">
        <is>
          <t>BM-CLIENT-01</t>
        </is>
      </c>
      <c r="H90" s="6" t="inlineStr">
        <is>
          <t>R. Nakamura</t>
        </is>
      </c>
      <c r="I90" s="6" t="inlineStr">
        <is>
          <t>HSBC Metals</t>
        </is>
      </c>
      <c r="J90" s="6" t="inlineStr">
        <is>
          <t>Sell</t>
        </is>
      </c>
      <c r="K90" s="6" t="inlineStr">
        <is>
          <t>Swap</t>
        </is>
      </c>
      <c r="L90" s="7" t="n">
        <v>1650</v>
      </c>
      <c r="M90" s="6" t="inlineStr">
        <is>
          <t>MT</t>
        </is>
      </c>
      <c r="N90" s="8" t="n">
        <v>2531.1328</v>
      </c>
      <c r="O90" s="8" t="n">
        <v>2530.9658</v>
      </c>
      <c r="P90" s="9" t="n">
        <v>4176369.12</v>
      </c>
      <c r="Q90" s="6" t="inlineStr">
        <is>
          <t>Confirmed</t>
        </is>
      </c>
      <c r="R90" s="6">
        <f>IFERROR(DATEVALUE(C90)-DATEVALUE(B90),"N/A")</f>
        <v/>
      </c>
      <c r="S90" s="6">
        <f>IF(AND(N90&lt;&gt;"",O90&lt;&gt;""),IF(N90&gt;O90,"Above","At/Below"),"N/A")</f>
        <v/>
      </c>
    </row>
    <row r="91">
      <c r="A91" s="10" t="inlineStr">
        <is>
          <t>TRD-000090</t>
        </is>
      </c>
      <c r="B91" s="10" t="inlineStr">
        <is>
          <t>2024-06-11</t>
        </is>
      </c>
      <c r="C91" s="10" t="inlineStr">
        <is>
          <t>2024-09-09</t>
        </is>
      </c>
      <c r="D91" s="10" t="inlineStr">
        <is>
          <t>Silver</t>
        </is>
      </c>
      <c r="E91" s="10" t="inlineStr">
        <is>
          <t>XAG</t>
        </is>
      </c>
      <c r="F91" s="10" t="inlineStr">
        <is>
          <t>Precious Metals</t>
        </is>
      </c>
      <c r="G91" s="10" t="inlineStr">
        <is>
          <t>PM-PROP-01</t>
        </is>
      </c>
      <c r="H91" s="10" t="inlineStr">
        <is>
          <t>A. Dubois</t>
        </is>
      </c>
      <c r="I91" s="10" t="inlineStr">
        <is>
          <t>Barclays Metals</t>
        </is>
      </c>
      <c r="J91" s="10" t="inlineStr">
        <is>
          <t>Sell</t>
        </is>
      </c>
      <c r="K91" s="10" t="inlineStr">
        <is>
          <t>Spot</t>
        </is>
      </c>
      <c r="L91" s="11" t="n">
        <v>20400</v>
      </c>
      <c r="M91" s="10" t="inlineStr">
        <is>
          <t>troy oz</t>
        </is>
      </c>
      <c r="N91" s="12" t="n">
        <v>29.1612</v>
      </c>
      <c r="O91" s="12" t="n">
        <v>29.139</v>
      </c>
      <c r="P91" s="13" t="n">
        <v>594888.48</v>
      </c>
      <c r="Q91" s="10" t="inlineStr">
        <is>
          <t>Confirmed</t>
        </is>
      </c>
      <c r="R91" s="10">
        <f>IFERROR(DATEVALUE(C91)-DATEVALUE(B91),"N/A")</f>
        <v/>
      </c>
      <c r="S91" s="10">
        <f>IF(AND(N91&lt;&gt;"",O91&lt;&gt;""),IF(N91&gt;O91,"Above","At/Below"),"N/A")</f>
        <v/>
      </c>
    </row>
    <row r="92">
      <c r="A92" s="6" t="inlineStr">
        <is>
          <t>TRD-000091</t>
        </is>
      </c>
      <c r="B92" s="6" t="inlineStr">
        <is>
          <t>2024-07-08</t>
        </is>
      </c>
      <c r="C92" s="6" t="inlineStr">
        <is>
          <t>2024-08-07</t>
        </is>
      </c>
      <c r="D92" s="6" t="inlineStr">
        <is>
          <t>Aluminium</t>
        </is>
      </c>
      <c r="E92" s="6" t="inlineStr">
        <is>
          <t>AL</t>
        </is>
      </c>
      <c r="F92" s="6" t="inlineStr">
        <is>
          <t>Base Metals</t>
        </is>
      </c>
      <c r="G92" s="6" t="inlineStr">
        <is>
          <t>BM-CLIENT-01</t>
        </is>
      </c>
      <c r="H92" s="6" t="inlineStr">
        <is>
          <t>J. Kowalski</t>
        </is>
      </c>
      <c r="I92" s="6" t="inlineStr">
        <is>
          <t>Goldman Sachs</t>
        </is>
      </c>
      <c r="J92" s="6" t="inlineStr">
        <is>
          <t>Sell</t>
        </is>
      </c>
      <c r="K92" s="6" t="inlineStr">
        <is>
          <t>Spot</t>
        </is>
      </c>
      <c r="L92" s="7" t="n">
        <v>4100</v>
      </c>
      <c r="M92" s="6" t="inlineStr">
        <is>
          <t>MT</t>
        </is>
      </c>
      <c r="N92" s="8" t="n">
        <v>2419.9718</v>
      </c>
      <c r="O92" s="8" t="n">
        <v>2420.8512</v>
      </c>
      <c r="P92" s="9" t="n">
        <v>9921884.380000001</v>
      </c>
      <c r="Q92" s="6" t="inlineStr">
        <is>
          <t>Settled</t>
        </is>
      </c>
      <c r="R92" s="6">
        <f>IFERROR(DATEVALUE(C92)-DATEVALUE(B92),"N/A")</f>
        <v/>
      </c>
      <c r="S92" s="6">
        <f>IF(AND(N92&lt;&gt;"",O92&lt;&gt;""),IF(N92&gt;O92,"Above","At/Below"),"N/A")</f>
        <v/>
      </c>
    </row>
    <row r="93">
      <c r="A93" s="10" t="inlineStr">
        <is>
          <t>TRD-000092</t>
        </is>
      </c>
      <c r="B93" s="10" t="inlineStr">
        <is>
          <t>2024-06-07</t>
        </is>
      </c>
      <c r="C93" s="10" t="inlineStr">
        <is>
          <t>2024-09-05</t>
        </is>
      </c>
      <c r="D93" s="10" t="inlineStr">
        <is>
          <t>Aluminium</t>
        </is>
      </c>
      <c r="E93" s="10" t="inlineStr">
        <is>
          <t>AL</t>
        </is>
      </c>
      <c r="F93" s="10" t="inlineStr">
        <is>
          <t>Base Metals</t>
        </is>
      </c>
      <c r="G93" s="10" t="inlineStr">
        <is>
          <t>BM-CLIENT-01</t>
        </is>
      </c>
      <c r="H93" s="10" t="inlineStr">
        <is>
          <t>J. Kowalski</t>
        </is>
      </c>
      <c r="I93" s="10" t="inlineStr">
        <is>
          <t>Scotiabank</t>
        </is>
      </c>
      <c r="J93" s="10" t="inlineStr">
        <is>
          <t>Sell</t>
        </is>
      </c>
      <c r="K93" s="10" t="inlineStr">
        <is>
          <t>Forward</t>
        </is>
      </c>
      <c r="L93" s="11" t="n">
        <v>2975</v>
      </c>
      <c r="M93" s="10" t="inlineStr">
        <is>
          <t>MT</t>
        </is>
      </c>
      <c r="N93" s="12" t="n">
        <v>2340.2158</v>
      </c>
      <c r="O93" s="12" t="n">
        <v>2342.9882</v>
      </c>
      <c r="P93" s="13" t="n">
        <v>6962142</v>
      </c>
      <c r="Q93" s="10" t="inlineStr">
        <is>
          <t>Confirmed</t>
        </is>
      </c>
      <c r="R93" s="10">
        <f>IFERROR(DATEVALUE(C93)-DATEVALUE(B93),"N/A")</f>
        <v/>
      </c>
      <c r="S93" s="10">
        <f>IF(AND(N93&lt;&gt;"",O93&lt;&gt;""),IF(N93&gt;O93,"Above","At/Below"),"N/A")</f>
        <v/>
      </c>
    </row>
    <row r="94">
      <c r="A94" s="6" t="inlineStr">
        <is>
          <t>TRD-000093</t>
        </is>
      </c>
      <c r="B94" s="6" t="inlineStr">
        <is>
          <t>2024-03-11</t>
        </is>
      </c>
      <c r="C94" s="6" t="inlineStr">
        <is>
          <t>2024-03-13</t>
        </is>
      </c>
      <c r="D94" s="6" t="inlineStr">
        <is>
          <t>Nickel</t>
        </is>
      </c>
      <c r="E94" s="6" t="inlineStr">
        <is>
          <t>NI</t>
        </is>
      </c>
      <c r="F94" s="6" t="inlineStr">
        <is>
          <t>Base Metals</t>
        </is>
      </c>
      <c r="G94" s="6" t="inlineStr">
        <is>
          <t>BM-PROP-01</t>
        </is>
      </c>
      <c r="H94" s="6" t="inlineStr">
        <is>
          <t>P. O'Brien</t>
        </is>
      </c>
      <c r="I94" s="6" t="inlineStr">
        <is>
          <t>Goldman Sachs</t>
        </is>
      </c>
      <c r="J94" s="6" t="inlineStr">
        <is>
          <t>Sell</t>
        </is>
      </c>
      <c r="K94" s="6" t="inlineStr">
        <is>
          <t>Spot</t>
        </is>
      </c>
      <c r="L94" s="7" t="n">
        <v>875</v>
      </c>
      <c r="M94" s="6" t="inlineStr">
        <is>
          <t>MT</t>
        </is>
      </c>
      <c r="N94" s="8" t="n">
        <v>18226.6637</v>
      </c>
      <c r="O94" s="8" t="n">
        <v>18177.7038</v>
      </c>
      <c r="P94" s="9" t="n">
        <v>15948330.74</v>
      </c>
      <c r="Q94" s="6" t="inlineStr">
        <is>
          <t>Pending</t>
        </is>
      </c>
      <c r="R94" s="6">
        <f>IFERROR(DATEVALUE(C94)-DATEVALUE(B94),"N/A")</f>
        <v/>
      </c>
      <c r="S94" s="6">
        <f>IF(AND(N94&lt;&gt;"",O94&lt;&gt;""),IF(N94&gt;O94,"Above","At/Below"),"N/A")</f>
        <v/>
      </c>
    </row>
    <row r="95">
      <c r="A95" s="10" t="inlineStr">
        <is>
          <t>TRD-000094</t>
        </is>
      </c>
      <c r="B95" s="10" t="inlineStr">
        <is>
          <t>2024-03-12</t>
        </is>
      </c>
      <c r="C95" s="10" t="inlineStr">
        <is>
          <t>2024-03-17</t>
        </is>
      </c>
      <c r="D95" s="10" t="inlineStr">
        <is>
          <t>Platinum</t>
        </is>
      </c>
      <c r="E95" s="10" t="inlineStr">
        <is>
          <t>XPT</t>
        </is>
      </c>
      <c r="F95" s="10" t="inlineStr">
        <is>
          <t>Precious Metals</t>
        </is>
      </c>
      <c r="G95" s="10" t="inlineStr">
        <is>
          <t>PM-HEDGE-01</t>
        </is>
      </c>
      <c r="H95" s="10" t="inlineStr">
        <is>
          <t>T. Vasquez</t>
        </is>
      </c>
      <c r="I95" s="10" t="inlineStr">
        <is>
          <t>TD Securities</t>
        </is>
      </c>
      <c r="J95" s="10" t="inlineStr">
        <is>
          <t>Sell</t>
        </is>
      </c>
      <c r="K95" s="10" t="inlineStr">
        <is>
          <t>Spot</t>
        </is>
      </c>
      <c r="L95" s="11" t="n">
        <v>48100</v>
      </c>
      <c r="M95" s="10" t="inlineStr">
        <is>
          <t>troy oz</t>
        </is>
      </c>
      <c r="N95" s="12" t="n">
        <v>991.9225</v>
      </c>
      <c r="O95" s="12" t="n">
        <v>991.3339</v>
      </c>
      <c r="P95" s="13" t="n">
        <v>47711472.25</v>
      </c>
      <c r="Q95" s="10" t="inlineStr">
        <is>
          <t>Cancelled</t>
        </is>
      </c>
      <c r="R95" s="10">
        <f>IFERROR(DATEVALUE(C95)-DATEVALUE(B95),"N/A")</f>
        <v/>
      </c>
      <c r="S95" s="10">
        <f>IF(AND(N95&lt;&gt;"",O95&lt;&gt;""),IF(N95&gt;O95,"Above","At/Below"),"N/A")</f>
        <v/>
      </c>
    </row>
    <row r="96">
      <c r="A96" s="6" t="inlineStr">
        <is>
          <t>TRD-000095</t>
        </is>
      </c>
      <c r="B96" s="6" t="inlineStr">
        <is>
          <t>2024-09-20</t>
        </is>
      </c>
      <c r="C96" s="6" t="inlineStr">
        <is>
          <t>2024-10-20</t>
        </is>
      </c>
      <c r="D96" s="6" t="inlineStr">
        <is>
          <t>Aluminium</t>
        </is>
      </c>
      <c r="E96" s="6" t="inlineStr">
        <is>
          <t>AL</t>
        </is>
      </c>
      <c r="F96" s="6" t="inlineStr">
        <is>
          <t>Base Metals</t>
        </is>
      </c>
      <c r="G96" s="6" t="inlineStr">
        <is>
          <t>BM-PROP-01</t>
        </is>
      </c>
      <c r="H96" s="6" t="inlineStr">
        <is>
          <t>M. Patel</t>
        </is>
      </c>
      <c r="I96" s="6" t="inlineStr">
        <is>
          <t>TD Securities</t>
        </is>
      </c>
      <c r="J96" s="6" t="inlineStr">
        <is>
          <t>Sell</t>
        </is>
      </c>
      <c r="K96" s="6" t="inlineStr">
        <is>
          <t>Spot</t>
        </is>
      </c>
      <c r="L96" s="7" t="n">
        <v>4150</v>
      </c>
      <c r="M96" s="6" t="inlineStr">
        <is>
          <t>MT</t>
        </is>
      </c>
      <c r="N96" s="8" t="n">
        <v>2548.2402</v>
      </c>
      <c r="O96" s="8" t="n">
        <v>2548.4156</v>
      </c>
      <c r="P96" s="9" t="n">
        <v>10575196.83</v>
      </c>
      <c r="Q96" s="6" t="inlineStr">
        <is>
          <t>Confirmed</t>
        </is>
      </c>
      <c r="R96" s="6">
        <f>IFERROR(DATEVALUE(C96)-DATEVALUE(B96),"N/A")</f>
        <v/>
      </c>
      <c r="S96" s="6">
        <f>IF(AND(N96&lt;&gt;"",O96&lt;&gt;""),IF(N96&gt;O96,"Above","At/Below"),"N/A")</f>
        <v/>
      </c>
    </row>
    <row r="97">
      <c r="A97" s="10" t="inlineStr">
        <is>
          <t>TRD-000096</t>
        </is>
      </c>
      <c r="B97" s="10" t="inlineStr">
        <is>
          <t>2024-01-16</t>
        </is>
      </c>
      <c r="C97" s="10" t="inlineStr">
        <is>
          <t>2024-01-18</t>
        </is>
      </c>
      <c r="D97" s="10" t="inlineStr">
        <is>
          <t>Palladium</t>
        </is>
      </c>
      <c r="E97" s="10" t="inlineStr">
        <is>
          <t>XPD</t>
        </is>
      </c>
      <c r="F97" s="10" t="inlineStr">
        <is>
          <t>Precious Metals</t>
        </is>
      </c>
      <c r="G97" s="10" t="inlineStr">
        <is>
          <t>PM-CLIENT-01</t>
        </is>
      </c>
      <c r="H97" s="10" t="inlineStr">
        <is>
          <t>L. Chen</t>
        </is>
      </c>
      <c r="I97" s="10" t="inlineStr">
        <is>
          <t>Goldman Sachs</t>
        </is>
      </c>
      <c r="J97" s="10" t="inlineStr">
        <is>
          <t>Buy</t>
        </is>
      </c>
      <c r="K97" s="10" t="inlineStr">
        <is>
          <t>Forward</t>
        </is>
      </c>
      <c r="L97" s="11" t="n">
        <v>12500</v>
      </c>
      <c r="M97" s="10" t="inlineStr">
        <is>
          <t>troy oz</t>
        </is>
      </c>
      <c r="N97" s="12" t="n">
        <v>1079.5047</v>
      </c>
      <c r="O97" s="12" t="n">
        <v>1080.1134</v>
      </c>
      <c r="P97" s="13" t="n">
        <v>13493808.75</v>
      </c>
      <c r="Q97" s="10" t="inlineStr">
        <is>
          <t>Confirmed</t>
        </is>
      </c>
      <c r="R97" s="10">
        <f>IFERROR(DATEVALUE(C97)-DATEVALUE(B97),"N/A")</f>
        <v/>
      </c>
      <c r="S97" s="10">
        <f>IF(AND(N97&lt;&gt;"",O97&lt;&gt;""),IF(N97&gt;O97,"Above","At/Below"),"N/A")</f>
        <v/>
      </c>
    </row>
    <row r="98">
      <c r="A98" s="6" t="inlineStr">
        <is>
          <t>TRD-000097</t>
        </is>
      </c>
      <c r="B98" s="6" t="inlineStr">
        <is>
          <t>2024-04-16</t>
        </is>
      </c>
      <c r="C98" s="6" t="inlineStr">
        <is>
          <t>2024-05-16</t>
        </is>
      </c>
      <c r="D98" s="6" t="inlineStr">
        <is>
          <t>Palladium</t>
        </is>
      </c>
      <c r="E98" s="6" t="inlineStr">
        <is>
          <t>XPD</t>
        </is>
      </c>
      <c r="F98" s="6" t="inlineStr">
        <is>
          <t>Precious Metals</t>
        </is>
      </c>
      <c r="G98" s="6" t="inlineStr">
        <is>
          <t>PM-HEDGE-01</t>
        </is>
      </c>
      <c r="H98" s="6" t="inlineStr">
        <is>
          <t>S. Okonkwo</t>
        </is>
      </c>
      <c r="I98" s="6" t="inlineStr">
        <is>
          <t>HSBC Metals</t>
        </is>
      </c>
      <c r="J98" s="6" t="inlineStr">
        <is>
          <t>Buy</t>
        </is>
      </c>
      <c r="K98" s="6" t="inlineStr">
        <is>
          <t>Swap</t>
        </is>
      </c>
      <c r="L98" s="7" t="n">
        <v>44000</v>
      </c>
      <c r="M98" s="6" t="inlineStr">
        <is>
          <t>troy oz</t>
        </is>
      </c>
      <c r="N98" s="8" t="n">
        <v>999.5753</v>
      </c>
      <c r="O98" s="8" t="n">
        <v>997.7977</v>
      </c>
      <c r="P98" s="9" t="n">
        <v>43981313.2</v>
      </c>
      <c r="Q98" s="6" t="inlineStr">
        <is>
          <t>Pending</t>
        </is>
      </c>
      <c r="R98" s="6">
        <f>IFERROR(DATEVALUE(C98)-DATEVALUE(B98),"N/A")</f>
        <v/>
      </c>
      <c r="S98" s="6">
        <f>IF(AND(N98&lt;&gt;"",O98&lt;&gt;""),IF(N98&gt;O98,"Above","At/Below"),"N/A")</f>
        <v/>
      </c>
    </row>
    <row r="99">
      <c r="A99" s="10" t="inlineStr">
        <is>
          <t>TRD-000098</t>
        </is>
      </c>
      <c r="B99" s="10" t="inlineStr">
        <is>
          <t>2024-01-11</t>
        </is>
      </c>
      <c r="C99" s="10" t="inlineStr">
        <is>
          <t>2024-01-13</t>
        </is>
      </c>
      <c r="D99" s="10" t="inlineStr">
        <is>
          <t>Gold</t>
        </is>
      </c>
      <c r="E99" s="10" t="inlineStr">
        <is>
          <t>XAU</t>
        </is>
      </c>
      <c r="F99" s="10" t="inlineStr">
        <is>
          <t>Precious Metals</t>
        </is>
      </c>
      <c r="G99" s="10" t="inlineStr">
        <is>
          <t>PM-PROP-01</t>
        </is>
      </c>
      <c r="H99" s="10" t="inlineStr">
        <is>
          <t>S. Okonkwo</t>
        </is>
      </c>
      <c r="I99" s="10" t="inlineStr">
        <is>
          <t>BNP Paribas</t>
        </is>
      </c>
      <c r="J99" s="10" t="inlineStr">
        <is>
          <t>Sell</t>
        </is>
      </c>
      <c r="K99" s="10" t="inlineStr">
        <is>
          <t>Spot</t>
        </is>
      </c>
      <c r="L99" s="11" t="n">
        <v>12200</v>
      </c>
      <c r="M99" s="10" t="inlineStr">
        <is>
          <t>troy oz</t>
        </is>
      </c>
      <c r="N99" s="12" t="n">
        <v>2417.802</v>
      </c>
      <c r="O99" s="12" t="n">
        <v>2418.1464</v>
      </c>
      <c r="P99" s="13" t="n">
        <v>29497184.4</v>
      </c>
      <c r="Q99" s="10" t="inlineStr">
        <is>
          <t>Confirmed</t>
        </is>
      </c>
      <c r="R99" s="10">
        <f>IFERROR(DATEVALUE(C99)-DATEVALUE(B99),"N/A")</f>
        <v/>
      </c>
      <c r="S99" s="10">
        <f>IF(AND(N99&lt;&gt;"",O99&lt;&gt;""),IF(N99&gt;O99,"Above","At/Below"),"N/A")</f>
        <v/>
      </c>
    </row>
    <row r="100">
      <c r="A100" s="6" t="inlineStr">
        <is>
          <t>TRD-000099</t>
        </is>
      </c>
      <c r="B100" s="6" t="inlineStr">
        <is>
          <t>2024-02-15</t>
        </is>
      </c>
      <c r="C100" s="6" t="inlineStr">
        <is>
          <t>2024-02-20</t>
        </is>
      </c>
      <c r="D100" s="6" t="inlineStr">
        <is>
          <t>Silver</t>
        </is>
      </c>
      <c r="E100" s="6" t="inlineStr">
        <is>
          <t>XAG</t>
        </is>
      </c>
      <c r="F100" s="6" t="inlineStr">
        <is>
          <t>Precious Metals</t>
        </is>
      </c>
      <c r="G100" s="6" t="inlineStr">
        <is>
          <t>PM-CLIENT-01</t>
        </is>
      </c>
      <c r="H100" s="6" t="inlineStr">
        <is>
          <t>J. Kowalski</t>
        </is>
      </c>
      <c r="I100" s="6" t="inlineStr">
        <is>
          <t>BNP Paribas</t>
        </is>
      </c>
      <c r="J100" s="6" t="inlineStr">
        <is>
          <t>Buy</t>
        </is>
      </c>
      <c r="K100" s="6" t="inlineStr">
        <is>
          <t>Spot</t>
        </is>
      </c>
      <c r="L100" s="7" t="n">
        <v>18600</v>
      </c>
      <c r="M100" s="6" t="inlineStr">
        <is>
          <t>troy oz</t>
        </is>
      </c>
      <c r="N100" s="8" t="n">
        <v>28.3399</v>
      </c>
      <c r="O100" s="8" t="n">
        <v>28.3526</v>
      </c>
      <c r="P100" s="9" t="n">
        <v>527122.14</v>
      </c>
      <c r="Q100" s="6" t="inlineStr">
        <is>
          <t>Settled</t>
        </is>
      </c>
      <c r="R100" s="6">
        <f>IFERROR(DATEVALUE(C100)-DATEVALUE(B100),"N/A")</f>
        <v/>
      </c>
      <c r="S100" s="6">
        <f>IF(AND(N100&lt;&gt;"",O100&lt;&gt;""),IF(N100&gt;O100,"Above","At/Below"),"N/A")</f>
        <v/>
      </c>
    </row>
    <row r="101">
      <c r="A101" s="10" t="inlineStr">
        <is>
          <t>TRD-000100</t>
        </is>
      </c>
      <c r="B101" s="10" t="inlineStr">
        <is>
          <t>2024-01-23</t>
        </is>
      </c>
      <c r="C101" s="10" t="inlineStr">
        <is>
          <t>2024-01-25</t>
        </is>
      </c>
      <c r="D101" s="10" t="inlineStr">
        <is>
          <t>Copper</t>
        </is>
      </c>
      <c r="E101" s="10" t="inlineStr">
        <is>
          <t>HG</t>
        </is>
      </c>
      <c r="F101" s="10" t="inlineStr">
        <is>
          <t>Base Metals</t>
        </is>
      </c>
      <c r="G101" s="10" t="inlineStr">
        <is>
          <t>BM-HEDGE-01</t>
        </is>
      </c>
      <c r="H101" s="10" t="inlineStr">
        <is>
          <t>T. Vasquez</t>
        </is>
      </c>
      <c r="I101" s="10" t="inlineStr">
        <is>
          <t>HSBC Metals</t>
        </is>
      </c>
      <c r="J101" s="10" t="inlineStr">
        <is>
          <t>Sell</t>
        </is>
      </c>
      <c r="K101" s="10" t="inlineStr">
        <is>
          <t>Forward</t>
        </is>
      </c>
      <c r="L101" s="11" t="n">
        <v>2575</v>
      </c>
      <c r="M101" s="10" t="inlineStr">
        <is>
          <t>lbs</t>
        </is>
      </c>
      <c r="N101" s="12" t="n">
        <v>4.3631</v>
      </c>
      <c r="O101" s="12" t="n">
        <v>4.3569</v>
      </c>
      <c r="P101" s="13" t="n">
        <v>11234.98</v>
      </c>
      <c r="Q101" s="10" t="inlineStr">
        <is>
          <t>Settled</t>
        </is>
      </c>
      <c r="R101" s="10">
        <f>IFERROR(DATEVALUE(C101)-DATEVALUE(B101),"N/A")</f>
        <v/>
      </c>
      <c r="S101" s="10">
        <f>IF(AND(N101&lt;&gt;"",O101&lt;&gt;""),IF(N101&gt;O101,"Above","At/Below"),"N/A")</f>
        <v/>
      </c>
    </row>
    <row r="102">
      <c r="A102" s="6" t="inlineStr">
        <is>
          <t>TRD-000101</t>
        </is>
      </c>
      <c r="B102" s="6" t="inlineStr">
        <is>
          <t>2024-04-16</t>
        </is>
      </c>
      <c r="C102" s="6" t="inlineStr">
        <is>
          <t>2024-04-18</t>
        </is>
      </c>
      <c r="D102" s="6" t="inlineStr">
        <is>
          <t>Aluminium</t>
        </is>
      </c>
      <c r="E102" s="6" t="inlineStr">
        <is>
          <t>AL</t>
        </is>
      </c>
      <c r="F102" s="6" t="inlineStr">
        <is>
          <t>Base Metals</t>
        </is>
      </c>
      <c r="G102" s="6" t="inlineStr">
        <is>
          <t>BM-CLIENT-01</t>
        </is>
      </c>
      <c r="H102" s="6" t="inlineStr">
        <is>
          <t>A. Dubois</t>
        </is>
      </c>
      <c r="I102" s="6" t="inlineStr">
        <is>
          <t>TD Securities</t>
        </is>
      </c>
      <c r="J102" s="6" t="inlineStr">
        <is>
          <t>Sell</t>
        </is>
      </c>
      <c r="K102" s="6" t="inlineStr">
        <is>
          <t>Spot</t>
        </is>
      </c>
      <c r="L102" s="7" t="n">
        <v>4000</v>
      </c>
      <c r="M102" s="6" t="inlineStr">
        <is>
          <t>MT</t>
        </is>
      </c>
      <c r="N102" s="8" t="n">
        <v>2363.5624</v>
      </c>
      <c r="O102" s="8" t="n">
        <v>2358.4169</v>
      </c>
      <c r="P102" s="9" t="n">
        <v>9454249.6</v>
      </c>
      <c r="Q102" s="6" t="inlineStr">
        <is>
          <t>Confirmed</t>
        </is>
      </c>
      <c r="R102" s="6">
        <f>IFERROR(DATEVALUE(C102)-DATEVALUE(B102),"N/A")</f>
        <v/>
      </c>
      <c r="S102" s="6">
        <f>IF(AND(N102&lt;&gt;"",O102&lt;&gt;""),IF(N102&gt;O102,"Above","At/Below"),"N/A")</f>
        <v/>
      </c>
    </row>
    <row r="103">
      <c r="A103" s="10" t="inlineStr">
        <is>
          <t>TRD-000102</t>
        </is>
      </c>
      <c r="B103" s="10" t="inlineStr">
        <is>
          <t>2024-03-22</t>
        </is>
      </c>
      <c r="C103" s="10" t="inlineStr">
        <is>
          <t>2024-06-20</t>
        </is>
      </c>
      <c r="D103" s="10" t="inlineStr">
        <is>
          <t>Zinc</t>
        </is>
      </c>
      <c r="E103" s="10" t="inlineStr">
        <is>
          <t>ZN</t>
        </is>
      </c>
      <c r="F103" s="10" t="inlineStr">
        <is>
          <t>Base Metals</t>
        </is>
      </c>
      <c r="G103" s="10" t="inlineStr">
        <is>
          <t>BM-PROP-01</t>
        </is>
      </c>
      <c r="H103" s="10" t="inlineStr">
        <is>
          <t>P. O'Brien</t>
        </is>
      </c>
      <c r="I103" s="10" t="inlineStr">
        <is>
          <t>UBS AG</t>
        </is>
      </c>
      <c r="J103" s="10" t="inlineStr">
        <is>
          <t>Buy</t>
        </is>
      </c>
      <c r="K103" s="10" t="inlineStr">
        <is>
          <t>Spot</t>
        </is>
      </c>
      <c r="L103" s="11" t="n">
        <v>4925</v>
      </c>
      <c r="M103" s="10" t="inlineStr">
        <is>
          <t>MT</t>
        </is>
      </c>
      <c r="N103" s="12" t="n">
        <v>2854.2415</v>
      </c>
      <c r="O103" s="12" t="n">
        <v>2842.2567</v>
      </c>
      <c r="P103" s="13" t="n">
        <v>14057139.39</v>
      </c>
      <c r="Q103" s="10" t="inlineStr">
        <is>
          <t>Settled</t>
        </is>
      </c>
      <c r="R103" s="10">
        <f>IFERROR(DATEVALUE(C103)-DATEVALUE(B103),"N/A")</f>
        <v/>
      </c>
      <c r="S103" s="10">
        <f>IF(AND(N103&lt;&gt;"",O103&lt;&gt;""),IF(N103&gt;O103,"Above","At/Below"),"N/A")</f>
        <v/>
      </c>
    </row>
    <row r="104">
      <c r="A104" s="6" t="inlineStr">
        <is>
          <t>TRD-000103</t>
        </is>
      </c>
      <c r="B104" s="6" t="inlineStr">
        <is>
          <t>2024-03-08</t>
        </is>
      </c>
      <c r="C104" s="6" t="inlineStr">
        <is>
          <t>2024-03-10</t>
        </is>
      </c>
      <c r="D104" s="6" t="inlineStr">
        <is>
          <t>Zinc</t>
        </is>
      </c>
      <c r="E104" s="6" t="inlineStr">
        <is>
          <t>ZN</t>
        </is>
      </c>
      <c r="F104" s="6" t="inlineStr">
        <is>
          <t>Base Metals</t>
        </is>
      </c>
      <c r="G104" s="6" t="inlineStr">
        <is>
          <t>BM-HEDGE-01</t>
        </is>
      </c>
      <c r="H104" s="6" t="inlineStr">
        <is>
          <t>T. Vasquez</t>
        </is>
      </c>
      <c r="I104" s="6" t="inlineStr">
        <is>
          <t>HSBC Metals</t>
        </is>
      </c>
      <c r="J104" s="6" t="inlineStr">
        <is>
          <t>Sell</t>
        </is>
      </c>
      <c r="K104" s="6" t="inlineStr">
        <is>
          <t>Spot</t>
        </is>
      </c>
      <c r="L104" s="7" t="n">
        <v>4275</v>
      </c>
      <c r="M104" s="6" t="inlineStr">
        <is>
          <t>MT</t>
        </is>
      </c>
      <c r="N104" s="8" t="n">
        <v>2776.9047</v>
      </c>
      <c r="O104" s="8" t="n">
        <v>2779.4939</v>
      </c>
      <c r="P104" s="9" t="n">
        <v>11871267.59</v>
      </c>
      <c r="Q104" s="6" t="inlineStr">
        <is>
          <t>Confirmed</t>
        </is>
      </c>
      <c r="R104" s="6">
        <f>IFERROR(DATEVALUE(C104)-DATEVALUE(B104),"N/A")</f>
        <v/>
      </c>
      <c r="S104" s="6">
        <f>IF(AND(N104&lt;&gt;"",O104&lt;&gt;""),IF(N104&gt;O104,"Above","At/Below"),"N/A")</f>
        <v/>
      </c>
    </row>
    <row r="105">
      <c r="A105" s="10" t="inlineStr">
        <is>
          <t>TRD-000104</t>
        </is>
      </c>
      <c r="B105" s="10" t="inlineStr">
        <is>
          <t>2024-11-06</t>
        </is>
      </c>
      <c r="C105" s="10" t="inlineStr">
        <is>
          <t>2024-11-08</t>
        </is>
      </c>
      <c r="D105" s="10" t="inlineStr">
        <is>
          <t>Silver</t>
        </is>
      </c>
      <c r="E105" s="10" t="inlineStr">
        <is>
          <t>XAG</t>
        </is>
      </c>
      <c r="F105" s="10" t="inlineStr">
        <is>
          <t>Precious Metals</t>
        </is>
      </c>
      <c r="G105" s="10" t="inlineStr">
        <is>
          <t>PM-PROP-01</t>
        </is>
      </c>
      <c r="H105" s="10" t="inlineStr">
        <is>
          <t>R. Nakamura</t>
        </is>
      </c>
      <c r="I105" s="10" t="inlineStr">
        <is>
          <t>Morgan Stanley</t>
        </is>
      </c>
      <c r="J105" s="10" t="inlineStr">
        <is>
          <t>Buy</t>
        </is>
      </c>
      <c r="K105" s="10" t="inlineStr">
        <is>
          <t>Forward</t>
        </is>
      </c>
      <c r="L105" s="11" t="n">
        <v>19100</v>
      </c>
      <c r="M105" s="10" t="inlineStr">
        <is>
          <t>troy oz</t>
        </is>
      </c>
      <c r="N105" s="12" t="n">
        <v>29.2586</v>
      </c>
      <c r="O105" s="12" t="n">
        <v>29.1971</v>
      </c>
      <c r="P105" s="13" t="n">
        <v>558839.26</v>
      </c>
      <c r="Q105" s="10" t="inlineStr">
        <is>
          <t>Confirmed</t>
        </is>
      </c>
      <c r="R105" s="10">
        <f>IFERROR(DATEVALUE(C105)-DATEVALUE(B105),"N/A")</f>
        <v/>
      </c>
      <c r="S105" s="10">
        <f>IF(AND(N105&lt;&gt;"",O105&lt;&gt;""),IF(N105&gt;O105,"Above","At/Below"),"N/A")</f>
        <v/>
      </c>
    </row>
    <row r="106">
      <c r="A106" s="6" t="inlineStr">
        <is>
          <t>TRD-000105</t>
        </is>
      </c>
      <c r="B106" s="6" t="inlineStr">
        <is>
          <t>2024-10-30</t>
        </is>
      </c>
      <c r="C106" s="6" t="inlineStr">
        <is>
          <t>2025-01-28</t>
        </is>
      </c>
      <c r="D106" s="6" t="inlineStr">
        <is>
          <t>Aluminium</t>
        </is>
      </c>
      <c r="E106" s="6" t="inlineStr">
        <is>
          <t>AL</t>
        </is>
      </c>
      <c r="F106" s="6" t="inlineStr">
        <is>
          <t>Base Metals</t>
        </is>
      </c>
      <c r="G106" s="6" t="inlineStr">
        <is>
          <t>BM-CLIENT-01</t>
        </is>
      </c>
      <c r="H106" s="6" t="inlineStr">
        <is>
          <t>L. Chen</t>
        </is>
      </c>
      <c r="I106" s="6" t="inlineStr">
        <is>
          <t>Standard Chartered</t>
        </is>
      </c>
      <c r="J106" s="6" t="inlineStr">
        <is>
          <t>Sell</t>
        </is>
      </c>
      <c r="K106" s="6" t="inlineStr">
        <is>
          <t>Spot</t>
        </is>
      </c>
      <c r="L106" s="7" t="n">
        <v>1850</v>
      </c>
      <c r="M106" s="6" t="inlineStr">
        <is>
          <t>MT</t>
        </is>
      </c>
      <c r="N106" s="8" t="n">
        <v>2344.8908</v>
      </c>
      <c r="O106" s="8" t="n">
        <v>2340.1043</v>
      </c>
      <c r="P106" s="9" t="n">
        <v>4338047.98</v>
      </c>
      <c r="Q106" s="6" t="inlineStr">
        <is>
          <t>Pending</t>
        </is>
      </c>
      <c r="R106" s="6">
        <f>IFERROR(DATEVALUE(C106)-DATEVALUE(B106),"N/A")</f>
        <v/>
      </c>
      <c r="S106" s="6">
        <f>IF(AND(N106&lt;&gt;"",O106&lt;&gt;""),IF(N106&gt;O106,"Above","At/Below"),"N/A")</f>
        <v/>
      </c>
    </row>
    <row r="107">
      <c r="A107" s="10" t="inlineStr">
        <is>
          <t>TRD-000106</t>
        </is>
      </c>
      <c r="B107" s="10" t="inlineStr">
        <is>
          <t>2024-09-09</t>
        </is>
      </c>
      <c r="C107" s="10" t="inlineStr">
        <is>
          <t>2024-10-09</t>
        </is>
      </c>
      <c r="D107" s="10" t="inlineStr">
        <is>
          <t>Palladium</t>
        </is>
      </c>
      <c r="E107" s="10" t="inlineStr">
        <is>
          <t>XPD</t>
        </is>
      </c>
      <c r="F107" s="10" t="inlineStr">
        <is>
          <t>Precious Metals</t>
        </is>
      </c>
      <c r="G107" s="10" t="inlineStr">
        <is>
          <t>PM-PROP-01</t>
        </is>
      </c>
      <c r="H107" s="10" t="inlineStr">
        <is>
          <t>J. Kowalski</t>
        </is>
      </c>
      <c r="I107" s="10" t="inlineStr">
        <is>
          <t>Goldman Sachs</t>
        </is>
      </c>
      <c r="J107" s="10" t="inlineStr">
        <is>
          <t>Sell</t>
        </is>
      </c>
      <c r="K107" s="10" t="inlineStr">
        <is>
          <t>Forward</t>
        </is>
      </c>
      <c r="L107" s="11" t="n">
        <v>39100</v>
      </c>
      <c r="M107" s="10" t="inlineStr">
        <is>
          <t>troy oz</t>
        </is>
      </c>
      <c r="N107" s="12" t="n">
        <v>1039.8762</v>
      </c>
      <c r="O107" s="12" t="n">
        <v>1036.0939</v>
      </c>
      <c r="P107" s="13" t="n">
        <v>40659159.42</v>
      </c>
      <c r="Q107" s="10" t="inlineStr">
        <is>
          <t>Settled</t>
        </is>
      </c>
      <c r="R107" s="10">
        <f>IFERROR(DATEVALUE(C107)-DATEVALUE(B107),"N/A")</f>
        <v/>
      </c>
      <c r="S107" s="10">
        <f>IF(AND(N107&lt;&gt;"",O107&lt;&gt;""),IF(N107&gt;O107,"Above","At/Below"),"N/A")</f>
        <v/>
      </c>
    </row>
    <row r="108">
      <c r="A108" s="6" t="inlineStr">
        <is>
          <t>TRD-000107</t>
        </is>
      </c>
      <c r="B108" s="6" t="inlineStr">
        <is>
          <t>2024-05-09</t>
        </is>
      </c>
      <c r="C108" s="6" t="inlineStr">
        <is>
          <t>2024-05-11</t>
        </is>
      </c>
      <c r="D108" s="6" t="inlineStr">
        <is>
          <t>Copper</t>
        </is>
      </c>
      <c r="E108" s="6" t="inlineStr">
        <is>
          <t>HG</t>
        </is>
      </c>
      <c r="F108" s="6" t="inlineStr">
        <is>
          <t>Base Metals</t>
        </is>
      </c>
      <c r="G108" s="6" t="inlineStr">
        <is>
          <t>BM-PROP-01</t>
        </is>
      </c>
      <c r="H108" s="6" t="inlineStr">
        <is>
          <t>S. Okonkwo</t>
        </is>
      </c>
      <c r="I108" s="6" t="inlineStr">
        <is>
          <t>Goldman Sachs</t>
        </is>
      </c>
      <c r="J108" s="6" t="inlineStr">
        <is>
          <t>Sell</t>
        </is>
      </c>
      <c r="K108" s="6" t="inlineStr">
        <is>
          <t>Spot</t>
        </is>
      </c>
      <c r="L108" s="7" t="n">
        <v>2000</v>
      </c>
      <c r="M108" s="6" t="inlineStr">
        <is>
          <t>lbs</t>
        </is>
      </c>
      <c r="N108" s="8" t="n">
        <v>4.231</v>
      </c>
      <c r="O108" s="8" t="n">
        <v>4.2341</v>
      </c>
      <c r="P108" s="9" t="n">
        <v>8462</v>
      </c>
      <c r="Q108" s="6" t="inlineStr">
        <is>
          <t>Pending</t>
        </is>
      </c>
      <c r="R108" s="6">
        <f>IFERROR(DATEVALUE(C108)-DATEVALUE(B108),"N/A")</f>
        <v/>
      </c>
      <c r="S108" s="6">
        <f>IF(AND(N108&lt;&gt;"",O108&lt;&gt;""),IF(N108&gt;O108,"Above","At/Below"),"N/A")</f>
        <v/>
      </c>
    </row>
    <row r="109">
      <c r="A109" s="10" t="inlineStr">
        <is>
          <t>TRD-000108</t>
        </is>
      </c>
      <c r="B109" s="10" t="inlineStr">
        <is>
          <t>2024-01-23</t>
        </is>
      </c>
      <c r="C109" s="10" t="inlineStr">
        <is>
          <t>2024-01-25</t>
        </is>
      </c>
      <c r="D109" s="10" t="inlineStr">
        <is>
          <t>Silver</t>
        </is>
      </c>
      <c r="E109" s="10" t="inlineStr">
        <is>
          <t>XAG</t>
        </is>
      </c>
      <c r="F109" s="10" t="inlineStr">
        <is>
          <t>Precious Metals</t>
        </is>
      </c>
      <c r="G109" s="10" t="inlineStr">
        <is>
          <t>PM-PROP-01</t>
        </is>
      </c>
      <c r="H109" s="10" t="inlineStr">
        <is>
          <t>R. Nakamura</t>
        </is>
      </c>
      <c r="I109" s="10" t="inlineStr">
        <is>
          <t>JPMorgan Commodities</t>
        </is>
      </c>
      <c r="J109" s="10" t="inlineStr">
        <is>
          <t>Sell</t>
        </is>
      </c>
      <c r="K109" s="10" t="inlineStr">
        <is>
          <t>Spot</t>
        </is>
      </c>
      <c r="L109" s="11" t="n">
        <v>11100</v>
      </c>
      <c r="M109" s="10" t="inlineStr">
        <is>
          <t>troy oz</t>
        </is>
      </c>
      <c r="N109" s="12" t="n">
        <v>29.2127</v>
      </c>
      <c r="O109" s="12" t="n">
        <v>29.2014</v>
      </c>
      <c r="P109" s="13" t="n">
        <v>324260.97</v>
      </c>
      <c r="Q109" s="10" t="inlineStr">
        <is>
          <t>Pending</t>
        </is>
      </c>
      <c r="R109" s="10">
        <f>IFERROR(DATEVALUE(C109)-DATEVALUE(B109),"N/A")</f>
        <v/>
      </c>
      <c r="S109" s="10">
        <f>IF(AND(N109&lt;&gt;"",O109&lt;&gt;""),IF(N109&gt;O109,"Above","At/Below"),"N/A")</f>
        <v/>
      </c>
    </row>
    <row r="110">
      <c r="A110" s="6" t="inlineStr">
        <is>
          <t>TRD-000109</t>
        </is>
      </c>
      <c r="B110" s="6" t="inlineStr">
        <is>
          <t>2024-04-22</t>
        </is>
      </c>
      <c r="C110" s="6" t="inlineStr">
        <is>
          <t>2024-04-24</t>
        </is>
      </c>
      <c r="D110" s="6" t="inlineStr">
        <is>
          <t>Silver</t>
        </is>
      </c>
      <c r="E110" s="6" t="inlineStr">
        <is>
          <t>XAG</t>
        </is>
      </c>
      <c r="F110" s="6" t="inlineStr">
        <is>
          <t>Precious Metals</t>
        </is>
      </c>
      <c r="G110" s="6" t="inlineStr">
        <is>
          <t>PM-PROP-01</t>
        </is>
      </c>
      <c r="H110" s="6" t="inlineStr">
        <is>
          <t>T. Vasquez</t>
        </is>
      </c>
      <c r="I110" s="6" t="inlineStr">
        <is>
          <t>Goldman Sachs</t>
        </is>
      </c>
      <c r="J110" s="6" t="inlineStr">
        <is>
          <t>Buy</t>
        </is>
      </c>
      <c r="K110" s="6" t="inlineStr">
        <is>
          <t>Spot</t>
        </is>
      </c>
      <c r="L110" s="7" t="n">
        <v>2600</v>
      </c>
      <c r="M110" s="6" t="inlineStr">
        <is>
          <t>troy oz</t>
        </is>
      </c>
      <c r="N110" s="8" t="n">
        <v>29.3021</v>
      </c>
      <c r="O110" s="8" t="n">
        <v>29.2251</v>
      </c>
      <c r="P110" s="9" t="n">
        <v>76185.46000000001</v>
      </c>
      <c r="Q110" s="6" t="inlineStr">
        <is>
          <t>Confirmed</t>
        </is>
      </c>
      <c r="R110" s="6">
        <f>IFERROR(DATEVALUE(C110)-DATEVALUE(B110),"N/A")</f>
        <v/>
      </c>
      <c r="S110" s="6">
        <f>IF(AND(N110&lt;&gt;"",O110&lt;&gt;""),IF(N110&gt;O110,"Above","At/Below"),"N/A")</f>
        <v/>
      </c>
    </row>
    <row r="111">
      <c r="A111" s="10" t="inlineStr">
        <is>
          <t>TRD-000110</t>
        </is>
      </c>
      <c r="B111" s="10" t="inlineStr">
        <is>
          <t>2024-03-22</t>
        </is>
      </c>
      <c r="C111" s="10" t="inlineStr">
        <is>
          <t>2024-03-24</t>
        </is>
      </c>
      <c r="D111" s="10" t="inlineStr">
        <is>
          <t>Copper</t>
        </is>
      </c>
      <c r="E111" s="10" t="inlineStr">
        <is>
          <t>HG</t>
        </is>
      </c>
      <c r="F111" s="10" t="inlineStr">
        <is>
          <t>Base Metals</t>
        </is>
      </c>
      <c r="G111" s="10" t="inlineStr">
        <is>
          <t>BM-PROP-01</t>
        </is>
      </c>
      <c r="H111" s="10" t="inlineStr">
        <is>
          <t>L. Chen</t>
        </is>
      </c>
      <c r="I111" s="10" t="inlineStr">
        <is>
          <t>Deutsche Bank</t>
        </is>
      </c>
      <c r="J111" s="10" t="inlineStr">
        <is>
          <t>Sell</t>
        </is>
      </c>
      <c r="K111" s="10" t="inlineStr">
        <is>
          <t>Forward</t>
        </is>
      </c>
      <c r="L111" s="11" t="n">
        <v>1825</v>
      </c>
      <c r="M111" s="10" t="inlineStr">
        <is>
          <t>lbs</t>
        </is>
      </c>
      <c r="N111" s="12" t="n">
        <v>4.1216</v>
      </c>
      <c r="O111" s="12" t="n">
        <v>4.1209</v>
      </c>
      <c r="P111" s="13" t="n">
        <v>7521.92</v>
      </c>
      <c r="Q111" s="10" t="inlineStr">
        <is>
          <t>Cancelled</t>
        </is>
      </c>
      <c r="R111" s="10">
        <f>IFERROR(DATEVALUE(C111)-DATEVALUE(B111),"N/A")</f>
        <v/>
      </c>
      <c r="S111" s="10">
        <f>IF(AND(N111&lt;&gt;"",O111&lt;&gt;""),IF(N111&gt;O111,"Above","At/Below"),"N/A")</f>
        <v/>
      </c>
    </row>
    <row r="112">
      <c r="A112" s="6" t="inlineStr">
        <is>
          <t>TRD-000111</t>
        </is>
      </c>
      <c r="B112" s="6" t="inlineStr">
        <is>
          <t>2024-05-27</t>
        </is>
      </c>
      <c r="C112" s="6" t="inlineStr">
        <is>
          <t>2024-05-29</t>
        </is>
      </c>
      <c r="D112" s="6" t="inlineStr">
        <is>
          <t>Gold</t>
        </is>
      </c>
      <c r="E112" s="6" t="inlineStr">
        <is>
          <t>XAU</t>
        </is>
      </c>
      <c r="F112" s="6" t="inlineStr">
        <is>
          <t>Precious Metals</t>
        </is>
      </c>
      <c r="G112" s="6" t="inlineStr">
        <is>
          <t>PM-PROP-01</t>
        </is>
      </c>
      <c r="H112" s="6" t="inlineStr">
        <is>
          <t>M. Patel</t>
        </is>
      </c>
      <c r="I112" s="6" t="inlineStr">
        <is>
          <t>Scotiabank</t>
        </is>
      </c>
      <c r="J112" s="6" t="inlineStr">
        <is>
          <t>Buy</t>
        </is>
      </c>
      <c r="K112" s="6" t="inlineStr">
        <is>
          <t>Forward</t>
        </is>
      </c>
      <c r="L112" s="7" t="n">
        <v>39300</v>
      </c>
      <c r="M112" s="6" t="inlineStr">
        <is>
          <t>troy oz</t>
        </is>
      </c>
      <c r="N112" s="8" t="n">
        <v>2454.7153</v>
      </c>
      <c r="O112" s="8" t="n">
        <v>2454.6512</v>
      </c>
      <c r="P112" s="9" t="n">
        <v>96470311.29000001</v>
      </c>
      <c r="Q112" s="6" t="inlineStr">
        <is>
          <t>Confirmed</t>
        </is>
      </c>
      <c r="R112" s="6">
        <f>IFERROR(DATEVALUE(C112)-DATEVALUE(B112),"N/A")</f>
        <v/>
      </c>
      <c r="S112" s="6">
        <f>IF(AND(N112&lt;&gt;"",O112&lt;&gt;""),IF(N112&gt;O112,"Above","At/Below"),"N/A")</f>
        <v/>
      </c>
    </row>
    <row r="113">
      <c r="A113" s="10" t="inlineStr">
        <is>
          <t>TRD-000112</t>
        </is>
      </c>
      <c r="B113" s="10" t="inlineStr">
        <is>
          <t>2024-04-03</t>
        </is>
      </c>
      <c r="C113" s="10" t="inlineStr">
        <is>
          <t>2024-04-08</t>
        </is>
      </c>
      <c r="D113" s="10" t="inlineStr">
        <is>
          <t>Zinc</t>
        </is>
      </c>
      <c r="E113" s="10" t="inlineStr">
        <is>
          <t>ZN</t>
        </is>
      </c>
      <c r="F113" s="10" t="inlineStr">
        <is>
          <t>Base Metals</t>
        </is>
      </c>
      <c r="G113" s="10" t="inlineStr">
        <is>
          <t>BM-PROP-01</t>
        </is>
      </c>
      <c r="H113" s="10" t="inlineStr">
        <is>
          <t>J. Kowalski</t>
        </is>
      </c>
      <c r="I113" s="10" t="inlineStr">
        <is>
          <t>Deutsche Bank</t>
        </is>
      </c>
      <c r="J113" s="10" t="inlineStr">
        <is>
          <t>Sell</t>
        </is>
      </c>
      <c r="K113" s="10" t="inlineStr">
        <is>
          <t>Spot</t>
        </is>
      </c>
      <c r="L113" s="11" t="n">
        <v>1475</v>
      </c>
      <c r="M113" s="10" t="inlineStr">
        <is>
          <t>MT</t>
        </is>
      </c>
      <c r="N113" s="12" t="n">
        <v>2820.4505</v>
      </c>
      <c r="O113" s="12" t="n">
        <v>2809.1231</v>
      </c>
      <c r="P113" s="13" t="n">
        <v>4160164.49</v>
      </c>
      <c r="Q113" s="10" t="inlineStr">
        <is>
          <t>Confirmed</t>
        </is>
      </c>
      <c r="R113" s="10">
        <f>IFERROR(DATEVALUE(C113)-DATEVALUE(B113),"N/A")</f>
        <v/>
      </c>
      <c r="S113" s="10">
        <f>IF(AND(N113&lt;&gt;"",O113&lt;&gt;""),IF(N113&gt;O113,"Above","At/Below"),"N/A")</f>
        <v/>
      </c>
    </row>
    <row r="114">
      <c r="A114" s="6" t="inlineStr">
        <is>
          <t>TRD-000113</t>
        </is>
      </c>
      <c r="B114" s="6" t="inlineStr">
        <is>
          <t>2024-11-04</t>
        </is>
      </c>
      <c r="C114" s="6" t="inlineStr">
        <is>
          <t>2024-12-04</t>
        </is>
      </c>
      <c r="D114" s="6" t="inlineStr">
        <is>
          <t>Silver</t>
        </is>
      </c>
      <c r="E114" s="6" t="inlineStr">
        <is>
          <t>XAG</t>
        </is>
      </c>
      <c r="F114" s="6" t="inlineStr">
        <is>
          <t>Precious Metals</t>
        </is>
      </c>
      <c r="G114" s="6" t="inlineStr">
        <is>
          <t>PM-HEDGE-01</t>
        </is>
      </c>
      <c r="H114" s="6" t="inlineStr">
        <is>
          <t>R. Nakamura</t>
        </is>
      </c>
      <c r="I114" s="6" t="inlineStr">
        <is>
          <t>Standard Chartered</t>
        </is>
      </c>
      <c r="J114" s="6" t="inlineStr">
        <is>
          <t>Sell</t>
        </is>
      </c>
      <c r="K114" s="6" t="inlineStr">
        <is>
          <t>Spot</t>
        </is>
      </c>
      <c r="L114" s="7" t="n">
        <v>32800</v>
      </c>
      <c r="M114" s="6" t="inlineStr">
        <is>
          <t>troy oz</t>
        </is>
      </c>
      <c r="N114" s="8" t="n">
        <v>28.2512</v>
      </c>
      <c r="O114" s="8" t="n">
        <v>28.2276</v>
      </c>
      <c r="P114" s="9" t="n">
        <v>926639.36</v>
      </c>
      <c r="Q114" s="6" t="inlineStr">
        <is>
          <t>Settled</t>
        </is>
      </c>
      <c r="R114" s="6">
        <f>IFERROR(DATEVALUE(C114)-DATEVALUE(B114),"N/A")</f>
        <v/>
      </c>
      <c r="S114" s="6">
        <f>IF(AND(N114&lt;&gt;"",O114&lt;&gt;""),IF(N114&gt;O114,"Above","At/Below"),"N/A")</f>
        <v/>
      </c>
    </row>
    <row r="115">
      <c r="A115" s="10" t="inlineStr">
        <is>
          <t>TRD-000114</t>
        </is>
      </c>
      <c r="B115" s="10" t="inlineStr">
        <is>
          <t>2024-09-17</t>
        </is>
      </c>
      <c r="C115" s="10" t="inlineStr">
        <is>
          <t>2024-09-19</t>
        </is>
      </c>
      <c r="D115" s="10" t="inlineStr">
        <is>
          <t>Nickel</t>
        </is>
      </c>
      <c r="E115" s="10" t="inlineStr">
        <is>
          <t>NI</t>
        </is>
      </c>
      <c r="F115" s="10" t="inlineStr">
        <is>
          <t>Base Metals</t>
        </is>
      </c>
      <c r="G115" s="10" t="inlineStr">
        <is>
          <t>BM-CLIENT-01</t>
        </is>
      </c>
      <c r="H115" s="10" t="inlineStr">
        <is>
          <t>M. Patel</t>
        </is>
      </c>
      <c r="I115" s="10" t="inlineStr">
        <is>
          <t>Deutsche Bank</t>
        </is>
      </c>
      <c r="J115" s="10" t="inlineStr">
        <is>
          <t>Buy</t>
        </is>
      </c>
      <c r="K115" s="10" t="inlineStr">
        <is>
          <t>Spot</t>
        </is>
      </c>
      <c r="L115" s="11" t="n">
        <v>700</v>
      </c>
      <c r="M115" s="10" t="inlineStr">
        <is>
          <t>MT</t>
        </is>
      </c>
      <c r="N115" s="12" t="n">
        <v>17403.2118</v>
      </c>
      <c r="O115" s="12" t="n">
        <v>17389.2456</v>
      </c>
      <c r="P115" s="13" t="n">
        <v>12182248.26</v>
      </c>
      <c r="Q115" s="10" t="inlineStr">
        <is>
          <t>Settled</t>
        </is>
      </c>
      <c r="R115" s="10">
        <f>IFERROR(DATEVALUE(C115)-DATEVALUE(B115),"N/A")</f>
        <v/>
      </c>
      <c r="S115" s="10">
        <f>IF(AND(N115&lt;&gt;"",O115&lt;&gt;""),IF(N115&gt;O115,"Above","At/Below"),"N/A")</f>
        <v/>
      </c>
    </row>
    <row r="116">
      <c r="A116" s="6" t="inlineStr">
        <is>
          <t>TRD-000115</t>
        </is>
      </c>
      <c r="B116" s="6" t="inlineStr">
        <is>
          <t>2024-08-27</t>
        </is>
      </c>
      <c r="C116" s="6" t="inlineStr">
        <is>
          <t>2024-08-29</t>
        </is>
      </c>
      <c r="D116" s="6" t="inlineStr">
        <is>
          <t>Aluminium</t>
        </is>
      </c>
      <c r="E116" s="6" t="inlineStr">
        <is>
          <t>AL</t>
        </is>
      </c>
      <c r="F116" s="6" t="inlineStr">
        <is>
          <t>Base Metals</t>
        </is>
      </c>
      <c r="G116" s="6" t="inlineStr">
        <is>
          <t>BM-PROP-01</t>
        </is>
      </c>
      <c r="H116" s="6" t="inlineStr">
        <is>
          <t>R. Nakamura</t>
        </is>
      </c>
      <c r="I116" s="6" t="inlineStr">
        <is>
          <t>UBS AG</t>
        </is>
      </c>
      <c r="J116" s="6" t="inlineStr">
        <is>
          <t>Buy</t>
        </is>
      </c>
      <c r="K116" s="6" t="inlineStr">
        <is>
          <t>Forward</t>
        </is>
      </c>
      <c r="L116" s="7" t="n">
        <v>4075</v>
      </c>
      <c r="M116" s="6" t="inlineStr">
        <is>
          <t>MT</t>
        </is>
      </c>
      <c r="N116" s="8" t="n">
        <v>2344.705</v>
      </c>
      <c r="O116" s="8" t="n">
        <v>2346.2129</v>
      </c>
      <c r="P116" s="9" t="n">
        <v>9554672.880000001</v>
      </c>
      <c r="Q116" s="6" t="inlineStr">
        <is>
          <t>Pending</t>
        </is>
      </c>
      <c r="R116" s="6">
        <f>IFERROR(DATEVALUE(C116)-DATEVALUE(B116),"N/A")</f>
        <v/>
      </c>
      <c r="S116" s="6">
        <f>IF(AND(N116&lt;&gt;"",O116&lt;&gt;""),IF(N116&gt;O116,"Above","At/Below"),"N/A")</f>
        <v/>
      </c>
    </row>
    <row r="117">
      <c r="A117" s="10" t="inlineStr">
        <is>
          <t>TRD-000116</t>
        </is>
      </c>
      <c r="B117" s="10" t="inlineStr">
        <is>
          <t>2024-03-14</t>
        </is>
      </c>
      <c r="C117" s="10" t="inlineStr">
        <is>
          <t>2024-03-16</t>
        </is>
      </c>
      <c r="D117" s="10" t="inlineStr">
        <is>
          <t>Platinum</t>
        </is>
      </c>
      <c r="E117" s="10" t="inlineStr">
        <is>
          <t>XPT</t>
        </is>
      </c>
      <c r="F117" s="10" t="inlineStr">
        <is>
          <t>Precious Metals</t>
        </is>
      </c>
      <c r="G117" s="10" t="inlineStr">
        <is>
          <t>PM-PROP-01</t>
        </is>
      </c>
      <c r="H117" s="10" t="inlineStr">
        <is>
          <t>S. Okonkwo</t>
        </is>
      </c>
      <c r="I117" s="10" t="inlineStr">
        <is>
          <t>Morgan Stanley</t>
        </is>
      </c>
      <c r="J117" s="10" t="inlineStr">
        <is>
          <t>Buy</t>
        </is>
      </c>
      <c r="K117" s="10" t="inlineStr">
        <is>
          <t>Forward</t>
        </is>
      </c>
      <c r="L117" s="11" t="n">
        <v>8900</v>
      </c>
      <c r="M117" s="10" t="inlineStr">
        <is>
          <t>troy oz</t>
        </is>
      </c>
      <c r="N117" s="12" t="n">
        <v>958.5598</v>
      </c>
      <c r="O117" s="12" t="n">
        <v>956.0848999999999</v>
      </c>
      <c r="P117" s="13" t="n">
        <v>8531182.220000001</v>
      </c>
      <c r="Q117" s="10" t="inlineStr">
        <is>
          <t>Confirmed</t>
        </is>
      </c>
      <c r="R117" s="10">
        <f>IFERROR(DATEVALUE(C117)-DATEVALUE(B117),"N/A")</f>
        <v/>
      </c>
      <c r="S117" s="10">
        <f>IF(AND(N117&lt;&gt;"",O117&lt;&gt;""),IF(N117&gt;O117,"Above","At/Below"),"N/A")</f>
        <v/>
      </c>
    </row>
    <row r="118">
      <c r="A118" s="6" t="inlineStr">
        <is>
          <t>TRD-000117</t>
        </is>
      </c>
      <c r="B118" s="6" t="inlineStr">
        <is>
          <t>2024-08-20</t>
        </is>
      </c>
      <c r="C118" s="6" t="inlineStr">
        <is>
          <t>2024-11-18</t>
        </is>
      </c>
      <c r="D118" s="6" t="inlineStr">
        <is>
          <t>Nickel</t>
        </is>
      </c>
      <c r="E118" s="6" t="inlineStr">
        <is>
          <t>NI</t>
        </is>
      </c>
      <c r="F118" s="6" t="inlineStr">
        <is>
          <t>Base Metals</t>
        </is>
      </c>
      <c r="G118" s="6" t="inlineStr">
        <is>
          <t>BM-CLIENT-01</t>
        </is>
      </c>
      <c r="H118" s="6" t="inlineStr">
        <is>
          <t>A. Dubois</t>
        </is>
      </c>
      <c r="I118" s="6" t="inlineStr">
        <is>
          <t>Goldman Sachs</t>
        </is>
      </c>
      <c r="J118" s="6" t="inlineStr">
        <is>
          <t>Buy</t>
        </is>
      </c>
      <c r="K118" s="6" t="inlineStr">
        <is>
          <t>Spot</t>
        </is>
      </c>
      <c r="L118" s="7" t="n">
        <v>2825</v>
      </c>
      <c r="M118" s="6" t="inlineStr">
        <is>
          <t>MT</t>
        </is>
      </c>
      <c r="N118" s="8" t="n">
        <v>17219.8092</v>
      </c>
      <c r="O118" s="8" t="n">
        <v>17178.2431</v>
      </c>
      <c r="P118" s="9" t="n">
        <v>48645960.99</v>
      </c>
      <c r="Q118" s="6" t="inlineStr">
        <is>
          <t>Confirmed</t>
        </is>
      </c>
      <c r="R118" s="6">
        <f>IFERROR(DATEVALUE(C118)-DATEVALUE(B118),"N/A")</f>
        <v/>
      </c>
      <c r="S118" s="6">
        <f>IF(AND(N118&lt;&gt;"",O118&lt;&gt;""),IF(N118&gt;O118,"Above","At/Below"),"N/A")</f>
        <v/>
      </c>
    </row>
    <row r="119">
      <c r="A119" s="10" t="inlineStr">
        <is>
          <t>TRD-000118</t>
        </is>
      </c>
      <c r="B119" s="10" t="inlineStr">
        <is>
          <t>2024-11-27</t>
        </is>
      </c>
      <c r="C119" s="10" t="inlineStr">
        <is>
          <t>2024-12-02</t>
        </is>
      </c>
      <c r="D119" s="10" t="inlineStr">
        <is>
          <t>Silver</t>
        </is>
      </c>
      <c r="E119" s="10" t="inlineStr">
        <is>
          <t>XAG</t>
        </is>
      </c>
      <c r="F119" s="10" t="inlineStr">
        <is>
          <t>Precious Metals</t>
        </is>
      </c>
      <c r="G119" s="10" t="inlineStr">
        <is>
          <t>PM-HEDGE-01</t>
        </is>
      </c>
      <c r="H119" s="10" t="inlineStr">
        <is>
          <t>M. Patel</t>
        </is>
      </c>
      <c r="I119" s="10" t="inlineStr">
        <is>
          <t>Goldman Sachs</t>
        </is>
      </c>
      <c r="J119" s="10" t="inlineStr">
        <is>
          <t>Sell</t>
        </is>
      </c>
      <c r="K119" s="10" t="inlineStr">
        <is>
          <t>Spot</t>
        </is>
      </c>
      <c r="L119" s="11" t="n">
        <v>18900</v>
      </c>
      <c r="M119" s="10" t="inlineStr">
        <is>
          <t>troy oz</t>
        </is>
      </c>
      <c r="N119" s="12" t="n">
        <v>27.2923</v>
      </c>
      <c r="O119" s="12" t="n">
        <v>27.1822</v>
      </c>
      <c r="P119" s="13" t="n">
        <v>515824.47</v>
      </c>
      <c r="Q119" s="10" t="inlineStr">
        <is>
          <t>Confirmed</t>
        </is>
      </c>
      <c r="R119" s="10">
        <f>IFERROR(DATEVALUE(C119)-DATEVALUE(B119),"N/A")</f>
        <v/>
      </c>
      <c r="S119" s="10">
        <f>IF(AND(N119&lt;&gt;"",O119&lt;&gt;""),IF(N119&gt;O119,"Above","At/Below"),"N/A")</f>
        <v/>
      </c>
    </row>
    <row r="120">
      <c r="A120" s="6" t="inlineStr">
        <is>
          <t>TRD-000119</t>
        </is>
      </c>
      <c r="B120" s="6" t="inlineStr">
        <is>
          <t>2024-01-31</t>
        </is>
      </c>
      <c r="C120" s="6" t="inlineStr">
        <is>
          <t>2024-02-05</t>
        </is>
      </c>
      <c r="D120" s="6" t="inlineStr">
        <is>
          <t>Zinc</t>
        </is>
      </c>
      <c r="E120" s="6" t="inlineStr">
        <is>
          <t>ZN</t>
        </is>
      </c>
      <c r="F120" s="6" t="inlineStr">
        <is>
          <t>Base Metals</t>
        </is>
      </c>
      <c r="G120" s="6" t="inlineStr">
        <is>
          <t>BM-HEDGE-01</t>
        </is>
      </c>
      <c r="H120" s="6" t="inlineStr">
        <is>
          <t>S. Okonkwo</t>
        </is>
      </c>
      <c r="I120" s="6" t="inlineStr">
        <is>
          <t>Scotiabank</t>
        </is>
      </c>
      <c r="J120" s="6" t="inlineStr">
        <is>
          <t>Buy</t>
        </is>
      </c>
      <c r="K120" s="6" t="inlineStr">
        <is>
          <t>Spot</t>
        </is>
      </c>
      <c r="L120" s="7" t="n">
        <v>3675</v>
      </c>
      <c r="M120" s="6" t="inlineStr">
        <is>
          <t>MT</t>
        </is>
      </c>
      <c r="N120" s="8" t="n">
        <v>2918.4086</v>
      </c>
      <c r="O120" s="8" t="n">
        <v>2914.534</v>
      </c>
      <c r="P120" s="9" t="n">
        <v>10725151.61</v>
      </c>
      <c r="Q120" s="6" t="inlineStr">
        <is>
          <t>Confirmed</t>
        </is>
      </c>
      <c r="R120" s="6">
        <f>IFERROR(DATEVALUE(C120)-DATEVALUE(B120),"N/A")</f>
        <v/>
      </c>
      <c r="S120" s="6">
        <f>IF(AND(N120&lt;&gt;"",O120&lt;&gt;""),IF(N120&gt;O120,"Above","At/Below"),"N/A")</f>
        <v/>
      </c>
    </row>
    <row r="121">
      <c r="A121" s="10" t="inlineStr">
        <is>
          <t>TRD-000120</t>
        </is>
      </c>
      <c r="B121" s="10" t="inlineStr">
        <is>
          <t>2024-03-01</t>
        </is>
      </c>
      <c r="C121" s="10" t="inlineStr">
        <is>
          <t>2024-03-31</t>
        </is>
      </c>
      <c r="D121" s="10" t="inlineStr">
        <is>
          <t>Aluminium</t>
        </is>
      </c>
      <c r="E121" s="10" t="inlineStr">
        <is>
          <t>AL</t>
        </is>
      </c>
      <c r="F121" s="10" t="inlineStr">
        <is>
          <t>Base Metals</t>
        </is>
      </c>
      <c r="G121" s="10" t="inlineStr">
        <is>
          <t>BM-CLIENT-01</t>
        </is>
      </c>
      <c r="H121" s="10" t="inlineStr">
        <is>
          <t>S. Okonkwo</t>
        </is>
      </c>
      <c r="I121" s="10" t="inlineStr">
        <is>
          <t>UBS AG</t>
        </is>
      </c>
      <c r="J121" s="10" t="inlineStr">
        <is>
          <t>Buy</t>
        </is>
      </c>
      <c r="K121" s="10" t="inlineStr">
        <is>
          <t>Forward</t>
        </is>
      </c>
      <c r="L121" s="11" t="n">
        <v>275</v>
      </c>
      <c r="M121" s="10" t="inlineStr">
        <is>
          <t>MT</t>
        </is>
      </c>
      <c r="N121" s="12" t="n">
        <v>2498.0733</v>
      </c>
      <c r="O121" s="12" t="n">
        <v>2485.8011</v>
      </c>
      <c r="P121" s="13" t="n">
        <v>686970.16</v>
      </c>
      <c r="Q121" s="10" t="inlineStr">
        <is>
          <t>Confirmed</t>
        </is>
      </c>
      <c r="R121" s="10">
        <f>IFERROR(DATEVALUE(C121)-DATEVALUE(B121),"N/A")</f>
        <v/>
      </c>
      <c r="S121" s="10">
        <f>IF(AND(N121&lt;&gt;"",O121&lt;&gt;""),IF(N121&gt;O121,"Above","At/Below"),"N/A")</f>
        <v/>
      </c>
    </row>
    <row r="122">
      <c r="A122" s="6" t="inlineStr">
        <is>
          <t>TRD-000121</t>
        </is>
      </c>
      <c r="B122" s="6" t="inlineStr">
        <is>
          <t>2024-10-21</t>
        </is>
      </c>
      <c r="C122" s="6" t="inlineStr">
        <is>
          <t>2024-10-23</t>
        </is>
      </c>
      <c r="D122" s="6" t="inlineStr">
        <is>
          <t>Copper</t>
        </is>
      </c>
      <c r="E122" s="6" t="inlineStr">
        <is>
          <t>HG</t>
        </is>
      </c>
      <c r="F122" s="6" t="inlineStr">
        <is>
          <t>Base Metals</t>
        </is>
      </c>
      <c r="G122" s="6" t="inlineStr">
        <is>
          <t>BM-HEDGE-01</t>
        </is>
      </c>
      <c r="H122" s="6" t="inlineStr">
        <is>
          <t>P. O'Brien</t>
        </is>
      </c>
      <c r="I122" s="6" t="inlineStr">
        <is>
          <t>JPMorgan Commodities</t>
        </is>
      </c>
      <c r="J122" s="6" t="inlineStr">
        <is>
          <t>Sell</t>
        </is>
      </c>
      <c r="K122" s="6" t="inlineStr">
        <is>
          <t>Spot</t>
        </is>
      </c>
      <c r="L122" s="7" t="n">
        <v>350</v>
      </c>
      <c r="M122" s="6" t="inlineStr">
        <is>
          <t>lbs</t>
        </is>
      </c>
      <c r="N122" s="8" t="n">
        <v>4.2185</v>
      </c>
      <c r="O122" s="8" t="n">
        <v>4.2242</v>
      </c>
      <c r="P122" s="9" t="n">
        <v>1476.47</v>
      </c>
      <c r="Q122" s="6" t="inlineStr">
        <is>
          <t>Confirmed</t>
        </is>
      </c>
      <c r="R122" s="6">
        <f>IFERROR(DATEVALUE(C122)-DATEVALUE(B122),"N/A")</f>
        <v/>
      </c>
      <c r="S122" s="6">
        <f>IF(AND(N122&lt;&gt;"",O122&lt;&gt;""),IF(N122&gt;O122,"Above","At/Below"),"N/A")</f>
        <v/>
      </c>
    </row>
    <row r="123">
      <c r="A123" s="10" t="inlineStr">
        <is>
          <t>TRD-000122</t>
        </is>
      </c>
      <c r="B123" s="10" t="inlineStr">
        <is>
          <t>2024-02-28</t>
        </is>
      </c>
      <c r="C123" s="10" t="inlineStr">
        <is>
          <t>2024-03-29</t>
        </is>
      </c>
      <c r="D123" s="10" t="inlineStr">
        <is>
          <t>Platinum</t>
        </is>
      </c>
      <c r="E123" s="10" t="inlineStr">
        <is>
          <t>XPT</t>
        </is>
      </c>
      <c r="F123" s="10" t="inlineStr">
        <is>
          <t>Precious Metals</t>
        </is>
      </c>
      <c r="G123" s="10" t="inlineStr">
        <is>
          <t>PM-HEDGE-01</t>
        </is>
      </c>
      <c r="H123" s="10" t="inlineStr">
        <is>
          <t>P. O'Brien</t>
        </is>
      </c>
      <c r="I123" s="10" t="inlineStr">
        <is>
          <t>Standard Chartered</t>
        </is>
      </c>
      <c r="J123" s="10" t="inlineStr">
        <is>
          <t>Sell</t>
        </is>
      </c>
      <c r="K123" s="10" t="inlineStr">
        <is>
          <t>Spot</t>
        </is>
      </c>
      <c r="L123" s="11" t="n">
        <v>47000</v>
      </c>
      <c r="M123" s="10" t="inlineStr">
        <is>
          <t>troy oz</t>
        </is>
      </c>
      <c r="N123" s="12" t="n">
        <v>998.6161</v>
      </c>
      <c r="O123" s="12" t="n">
        <v>996.034</v>
      </c>
      <c r="P123" s="13" t="n">
        <v>46934956.7</v>
      </c>
      <c r="Q123" s="10" t="inlineStr">
        <is>
          <t>Confirmed</t>
        </is>
      </c>
      <c r="R123" s="10">
        <f>IFERROR(DATEVALUE(C123)-DATEVALUE(B123),"N/A")</f>
        <v/>
      </c>
      <c r="S123" s="10">
        <f>IF(AND(N123&lt;&gt;"",O123&lt;&gt;""),IF(N123&gt;O123,"Above","At/Below"),"N/A")</f>
        <v/>
      </c>
    </row>
    <row r="124">
      <c r="A124" s="6" t="inlineStr">
        <is>
          <t>TRD-000123</t>
        </is>
      </c>
      <c r="B124" s="6" t="inlineStr">
        <is>
          <t>2024-09-26</t>
        </is>
      </c>
      <c r="C124" s="6" t="inlineStr">
        <is>
          <t>2024-12-25</t>
        </is>
      </c>
      <c r="D124" s="6" t="inlineStr">
        <is>
          <t>Silver</t>
        </is>
      </c>
      <c r="E124" s="6" t="inlineStr">
        <is>
          <t>XAG</t>
        </is>
      </c>
      <c r="F124" s="6" t="inlineStr">
        <is>
          <t>Precious Metals</t>
        </is>
      </c>
      <c r="G124" s="6" t="inlineStr">
        <is>
          <t>PM-HEDGE-01</t>
        </is>
      </c>
      <c r="H124" s="6" t="inlineStr">
        <is>
          <t>M. Patel</t>
        </is>
      </c>
      <c r="I124" s="6" t="inlineStr">
        <is>
          <t>Morgan Stanley</t>
        </is>
      </c>
      <c r="J124" s="6" t="inlineStr">
        <is>
          <t>Buy</t>
        </is>
      </c>
      <c r="K124" s="6" t="inlineStr">
        <is>
          <t>Forward</t>
        </is>
      </c>
      <c r="L124" s="7" t="n">
        <v>41700</v>
      </c>
      <c r="M124" s="6" t="inlineStr">
        <is>
          <t>troy oz</t>
        </is>
      </c>
      <c r="N124" s="8" t="n">
        <v>29.4427</v>
      </c>
      <c r="O124" s="8" t="n">
        <v>29.3312</v>
      </c>
      <c r="P124" s="9" t="n">
        <v>1227760.59</v>
      </c>
      <c r="Q124" s="6" t="inlineStr">
        <is>
          <t>Pending</t>
        </is>
      </c>
      <c r="R124" s="6">
        <f>IFERROR(DATEVALUE(C124)-DATEVALUE(B124),"N/A")</f>
        <v/>
      </c>
      <c r="S124" s="6">
        <f>IF(AND(N124&lt;&gt;"",O124&lt;&gt;""),IF(N124&gt;O124,"Above","At/Below"),"N/A")</f>
        <v/>
      </c>
    </row>
    <row r="125">
      <c r="A125" s="10" t="inlineStr">
        <is>
          <t>TRD-000124</t>
        </is>
      </c>
      <c r="B125" s="10" t="inlineStr">
        <is>
          <t>2024-09-17</t>
        </is>
      </c>
      <c r="C125" s="10" t="inlineStr">
        <is>
          <t>2024-09-19</t>
        </is>
      </c>
      <c r="D125" s="10" t="inlineStr">
        <is>
          <t>Aluminium</t>
        </is>
      </c>
      <c r="E125" s="10" t="inlineStr">
        <is>
          <t>AL</t>
        </is>
      </c>
      <c r="F125" s="10" t="inlineStr">
        <is>
          <t>Base Metals</t>
        </is>
      </c>
      <c r="G125" s="10" t="inlineStr">
        <is>
          <t>BM-PROP-01</t>
        </is>
      </c>
      <c r="H125" s="10" t="inlineStr">
        <is>
          <t>L. Chen</t>
        </is>
      </c>
      <c r="I125" s="10" t="inlineStr">
        <is>
          <t>Standard Chartered</t>
        </is>
      </c>
      <c r="J125" s="10" t="inlineStr">
        <is>
          <t>Sell</t>
        </is>
      </c>
      <c r="K125" s="10" t="inlineStr">
        <is>
          <t>Swap</t>
        </is>
      </c>
      <c r="L125" s="11" t="n">
        <v>1375</v>
      </c>
      <c r="M125" s="10" t="inlineStr">
        <is>
          <t>MT</t>
        </is>
      </c>
      <c r="N125" s="12" t="n">
        <v>2374.994</v>
      </c>
      <c r="O125" s="12" t="n">
        <v>2371.6644</v>
      </c>
      <c r="P125" s="13" t="n">
        <v>3265616.75</v>
      </c>
      <c r="Q125" s="10" t="inlineStr">
        <is>
          <t>Confirmed</t>
        </is>
      </c>
      <c r="R125" s="10">
        <f>IFERROR(DATEVALUE(C125)-DATEVALUE(B125),"N/A")</f>
        <v/>
      </c>
      <c r="S125" s="10">
        <f>IF(AND(N125&lt;&gt;"",O125&lt;&gt;""),IF(N125&gt;O125,"Above","At/Below"),"N/A")</f>
        <v/>
      </c>
    </row>
    <row r="126">
      <c r="A126" s="6" t="inlineStr">
        <is>
          <t>TRD-000125</t>
        </is>
      </c>
      <c r="B126" s="6" t="inlineStr">
        <is>
          <t>2024-12-30</t>
        </is>
      </c>
      <c r="C126" s="6" t="inlineStr">
        <is>
          <t>2025-01-29</t>
        </is>
      </c>
      <c r="D126" s="6" t="inlineStr">
        <is>
          <t>Copper</t>
        </is>
      </c>
      <c r="E126" s="6" t="inlineStr">
        <is>
          <t>HG</t>
        </is>
      </c>
      <c r="F126" s="6" t="inlineStr">
        <is>
          <t>Base Metals</t>
        </is>
      </c>
      <c r="G126" s="6" t="inlineStr">
        <is>
          <t>BM-PROP-01</t>
        </is>
      </c>
      <c r="H126" s="6" t="inlineStr">
        <is>
          <t>S. Okonkwo</t>
        </is>
      </c>
      <c r="I126" s="6" t="inlineStr">
        <is>
          <t>Goldman Sachs</t>
        </is>
      </c>
      <c r="J126" s="6" t="inlineStr">
        <is>
          <t>Buy</t>
        </is>
      </c>
      <c r="K126" s="6" t="inlineStr">
        <is>
          <t>Forward</t>
        </is>
      </c>
      <c r="L126" s="7" t="n">
        <v>3375</v>
      </c>
      <c r="M126" s="6" t="inlineStr">
        <is>
          <t>lbs</t>
        </is>
      </c>
      <c r="N126" s="8" t="n">
        <v>4.3068</v>
      </c>
      <c r="O126" s="8" t="n">
        <v>4.2891</v>
      </c>
      <c r="P126" s="9" t="n">
        <v>14535.45</v>
      </c>
      <c r="Q126" s="6" t="inlineStr">
        <is>
          <t>Confirmed</t>
        </is>
      </c>
      <c r="R126" s="6">
        <f>IFERROR(DATEVALUE(C126)-DATEVALUE(B126),"N/A")</f>
        <v/>
      </c>
      <c r="S126" s="6">
        <f>IF(AND(N126&lt;&gt;"",O126&lt;&gt;""),IF(N126&gt;O126,"Above","At/Below"),"N/A")</f>
        <v/>
      </c>
    </row>
    <row r="127">
      <c r="A127" s="10" t="inlineStr">
        <is>
          <t>TRD-000126</t>
        </is>
      </c>
      <c r="B127" s="10" t="inlineStr">
        <is>
          <t>2024-04-29</t>
        </is>
      </c>
      <c r="C127" s="10" t="inlineStr">
        <is>
          <t>2024-07-28</t>
        </is>
      </c>
      <c r="D127" s="10" t="inlineStr">
        <is>
          <t>Platinum</t>
        </is>
      </c>
      <c r="E127" s="10" t="inlineStr">
        <is>
          <t>XPT</t>
        </is>
      </c>
      <c r="F127" s="10" t="inlineStr">
        <is>
          <t>Precious Metals</t>
        </is>
      </c>
      <c r="G127" s="10" t="inlineStr">
        <is>
          <t>PM-PROP-01</t>
        </is>
      </c>
      <c r="H127" s="10" t="inlineStr">
        <is>
          <t>T. Vasquez</t>
        </is>
      </c>
      <c r="I127" s="10" t="inlineStr">
        <is>
          <t>Goldman Sachs</t>
        </is>
      </c>
      <c r="J127" s="10" t="inlineStr">
        <is>
          <t>Sell</t>
        </is>
      </c>
      <c r="K127" s="10" t="inlineStr">
        <is>
          <t>Forward</t>
        </is>
      </c>
      <c r="L127" s="11" t="n">
        <v>21100</v>
      </c>
      <c r="M127" s="10" t="inlineStr">
        <is>
          <t>troy oz</t>
        </is>
      </c>
      <c r="N127" s="12" t="n">
        <v>973.5635</v>
      </c>
      <c r="O127" s="12" t="n">
        <v>973.8920000000001</v>
      </c>
      <c r="P127" s="13" t="n">
        <v>20542189.85</v>
      </c>
      <c r="Q127" s="10" t="inlineStr">
        <is>
          <t>Confirmed</t>
        </is>
      </c>
      <c r="R127" s="10">
        <f>IFERROR(DATEVALUE(C127)-DATEVALUE(B127),"N/A")</f>
        <v/>
      </c>
      <c r="S127" s="10">
        <f>IF(AND(N127&lt;&gt;"",O127&lt;&gt;""),IF(N127&gt;O127,"Above","At/Below"),"N/A")</f>
        <v/>
      </c>
    </row>
    <row r="128">
      <c r="A128" s="6" t="inlineStr">
        <is>
          <t>TRD-000127</t>
        </is>
      </c>
      <c r="B128" s="6" t="inlineStr">
        <is>
          <t>2024-06-20</t>
        </is>
      </c>
      <c r="C128" s="6" t="inlineStr">
        <is>
          <t>2024-06-22</t>
        </is>
      </c>
      <c r="D128" s="6" t="inlineStr">
        <is>
          <t>Nickel</t>
        </is>
      </c>
      <c r="E128" s="6" t="inlineStr">
        <is>
          <t>NI</t>
        </is>
      </c>
      <c r="F128" s="6" t="inlineStr">
        <is>
          <t>Base Metals</t>
        </is>
      </c>
      <c r="G128" s="6" t="inlineStr">
        <is>
          <t>BM-PROP-01</t>
        </is>
      </c>
      <c r="H128" s="6" t="inlineStr">
        <is>
          <t>T. Vasquez</t>
        </is>
      </c>
      <c r="I128" s="6" t="inlineStr">
        <is>
          <t>TD Securities</t>
        </is>
      </c>
      <c r="J128" s="6" t="inlineStr">
        <is>
          <t>Buy</t>
        </is>
      </c>
      <c r="K128" s="6" t="inlineStr">
        <is>
          <t>Spot</t>
        </is>
      </c>
      <c r="L128" s="7" t="n">
        <v>3025</v>
      </c>
      <c r="M128" s="6" t="inlineStr">
        <is>
          <t>MT</t>
        </is>
      </c>
      <c r="N128" s="8" t="n">
        <v>18399.59</v>
      </c>
      <c r="O128" s="8" t="n">
        <v>18314.7941</v>
      </c>
      <c r="P128" s="9" t="n">
        <v>55658759.75</v>
      </c>
      <c r="Q128" s="6" t="inlineStr">
        <is>
          <t>Settled</t>
        </is>
      </c>
      <c r="R128" s="6">
        <f>IFERROR(DATEVALUE(C128)-DATEVALUE(B128),"N/A")</f>
        <v/>
      </c>
      <c r="S128" s="6">
        <f>IF(AND(N128&lt;&gt;"",O128&lt;&gt;""),IF(N128&gt;O128,"Above","At/Below"),"N/A")</f>
        <v/>
      </c>
    </row>
    <row r="129">
      <c r="A129" s="10" t="inlineStr">
        <is>
          <t>TRD-000128</t>
        </is>
      </c>
      <c r="B129" s="10" t="inlineStr">
        <is>
          <t>2024-10-28</t>
        </is>
      </c>
      <c r="C129" s="10" t="inlineStr">
        <is>
          <t>2024-10-30</t>
        </is>
      </c>
      <c r="D129" s="10" t="inlineStr">
        <is>
          <t>Zinc</t>
        </is>
      </c>
      <c r="E129" s="10" t="inlineStr">
        <is>
          <t>ZN</t>
        </is>
      </c>
      <c r="F129" s="10" t="inlineStr">
        <is>
          <t>Base Metals</t>
        </is>
      </c>
      <c r="G129" s="10" t="inlineStr">
        <is>
          <t>BM-CLIENT-01</t>
        </is>
      </c>
      <c r="H129" s="10" t="inlineStr">
        <is>
          <t>T. Vasquez</t>
        </is>
      </c>
      <c r="I129" s="10" t="inlineStr">
        <is>
          <t>UBS AG</t>
        </is>
      </c>
      <c r="J129" s="10" t="inlineStr">
        <is>
          <t>Buy</t>
        </is>
      </c>
      <c r="K129" s="10" t="inlineStr">
        <is>
          <t>Option</t>
        </is>
      </c>
      <c r="L129" s="11" t="n">
        <v>3875</v>
      </c>
      <c r="M129" s="10" t="inlineStr">
        <is>
          <t>MT</t>
        </is>
      </c>
      <c r="N129" s="12" t="n">
        <v>2884.0072</v>
      </c>
      <c r="O129" s="12" t="n">
        <v>2888.7295</v>
      </c>
      <c r="P129" s="13" t="n">
        <v>11175527.9</v>
      </c>
      <c r="Q129" s="10" t="inlineStr">
        <is>
          <t>Confirmed</t>
        </is>
      </c>
      <c r="R129" s="10">
        <f>IFERROR(DATEVALUE(C129)-DATEVALUE(B129),"N/A")</f>
        <v/>
      </c>
      <c r="S129" s="10">
        <f>IF(AND(N129&lt;&gt;"",O129&lt;&gt;""),IF(N129&gt;O129,"Above","At/Below"),"N/A")</f>
        <v/>
      </c>
    </row>
    <row r="130">
      <c r="A130" s="6" t="inlineStr">
        <is>
          <t>TRD-000129</t>
        </is>
      </c>
      <c r="B130" s="6" t="inlineStr">
        <is>
          <t>2024-03-29</t>
        </is>
      </c>
      <c r="C130" s="6" t="inlineStr">
        <is>
          <t>2024-03-31</t>
        </is>
      </c>
      <c r="D130" s="6" t="inlineStr">
        <is>
          <t>Silver</t>
        </is>
      </c>
      <c r="E130" s="6" t="inlineStr">
        <is>
          <t>XAG</t>
        </is>
      </c>
      <c r="F130" s="6" t="inlineStr">
        <is>
          <t>Precious Metals</t>
        </is>
      </c>
      <c r="G130" s="6" t="inlineStr">
        <is>
          <t>PM-CLIENT-01</t>
        </is>
      </c>
      <c r="H130" s="6" t="inlineStr">
        <is>
          <t>P. O'Brien</t>
        </is>
      </c>
      <c r="I130" s="6" t="inlineStr">
        <is>
          <t>HSBC Metals</t>
        </is>
      </c>
      <c r="J130" s="6" t="inlineStr">
        <is>
          <t>Sell</t>
        </is>
      </c>
      <c r="K130" s="6" t="inlineStr">
        <is>
          <t>Spot</t>
        </is>
      </c>
      <c r="L130" s="7" t="n">
        <v>8300</v>
      </c>
      <c r="M130" s="6" t="inlineStr">
        <is>
          <t>troy oz</t>
        </is>
      </c>
      <c r="N130" s="8" t="n">
        <v>27.3575</v>
      </c>
      <c r="O130" s="8" t="n">
        <v>27.314</v>
      </c>
      <c r="P130" s="9" t="n">
        <v>227067.25</v>
      </c>
      <c r="Q130" s="6" t="inlineStr">
        <is>
          <t>Settled</t>
        </is>
      </c>
      <c r="R130" s="6">
        <f>IFERROR(DATEVALUE(C130)-DATEVALUE(B130),"N/A")</f>
        <v/>
      </c>
      <c r="S130" s="6">
        <f>IF(AND(N130&lt;&gt;"",O130&lt;&gt;""),IF(N130&gt;O130,"Above","At/Below"),"N/A")</f>
        <v/>
      </c>
    </row>
    <row r="131">
      <c r="A131" s="10" t="inlineStr">
        <is>
          <t>TRD-000130</t>
        </is>
      </c>
      <c r="B131" s="10" t="inlineStr">
        <is>
          <t>2024-09-06</t>
        </is>
      </c>
      <c r="C131" s="10" t="inlineStr">
        <is>
          <t>2024-09-08</t>
        </is>
      </c>
      <c r="D131" s="10" t="inlineStr">
        <is>
          <t>Palladium</t>
        </is>
      </c>
      <c r="E131" s="10" t="inlineStr">
        <is>
          <t>XPD</t>
        </is>
      </c>
      <c r="F131" s="10" t="inlineStr">
        <is>
          <t>Precious Metals</t>
        </is>
      </c>
      <c r="G131" s="10" t="inlineStr">
        <is>
          <t>PM-HEDGE-01</t>
        </is>
      </c>
      <c r="H131" s="10" t="inlineStr">
        <is>
          <t>R. Nakamura</t>
        </is>
      </c>
      <c r="I131" s="10" t="inlineStr">
        <is>
          <t>Citibank NA</t>
        </is>
      </c>
      <c r="J131" s="10" t="inlineStr">
        <is>
          <t>Sell</t>
        </is>
      </c>
      <c r="K131" s="10" t="inlineStr">
        <is>
          <t>Spot</t>
        </is>
      </c>
      <c r="L131" s="11" t="n">
        <v>20300</v>
      </c>
      <c r="M131" s="10" t="inlineStr">
        <is>
          <t>troy oz</t>
        </is>
      </c>
      <c r="N131" s="12" t="n">
        <v>1046.2296</v>
      </c>
      <c r="O131" s="12" t="n">
        <v>1041.0642</v>
      </c>
      <c r="P131" s="13" t="n">
        <v>21238460.88</v>
      </c>
      <c r="Q131" s="10" t="inlineStr">
        <is>
          <t>Confirmed</t>
        </is>
      </c>
      <c r="R131" s="10">
        <f>IFERROR(DATEVALUE(C131)-DATEVALUE(B131),"N/A")</f>
        <v/>
      </c>
      <c r="S131" s="10">
        <f>IF(AND(N131&lt;&gt;"",O131&lt;&gt;""),IF(N131&gt;O131,"Above","At/Below"),"N/A")</f>
        <v/>
      </c>
    </row>
    <row r="132">
      <c r="A132" s="6" t="inlineStr">
        <is>
          <t>TRD-000131</t>
        </is>
      </c>
      <c r="B132" s="6" t="inlineStr">
        <is>
          <t>2024-08-28</t>
        </is>
      </c>
      <c r="C132" s="6" t="inlineStr">
        <is>
          <t>2024-08-30</t>
        </is>
      </c>
      <c r="D132" s="6" t="inlineStr">
        <is>
          <t>Silver</t>
        </is>
      </c>
      <c r="E132" s="6" t="inlineStr">
        <is>
          <t>XAG</t>
        </is>
      </c>
      <c r="F132" s="6" t="inlineStr">
        <is>
          <t>Precious Metals</t>
        </is>
      </c>
      <c r="G132" s="6" t="inlineStr">
        <is>
          <t>PM-CLIENT-01</t>
        </is>
      </c>
      <c r="H132" s="6" t="inlineStr">
        <is>
          <t>T. Vasquez</t>
        </is>
      </c>
      <c r="I132" s="6" t="inlineStr">
        <is>
          <t>TD Securities</t>
        </is>
      </c>
      <c r="J132" s="6" t="inlineStr">
        <is>
          <t>Sell</t>
        </is>
      </c>
      <c r="K132" s="6" t="inlineStr">
        <is>
          <t>Forward</t>
        </is>
      </c>
      <c r="L132" s="7" t="n">
        <v>14700</v>
      </c>
      <c r="M132" s="6" t="inlineStr">
        <is>
          <t>troy oz</t>
        </is>
      </c>
      <c r="N132" s="8" t="n">
        <v>27.439</v>
      </c>
      <c r="O132" s="8" t="n">
        <v>27.4672</v>
      </c>
      <c r="P132" s="9" t="n">
        <v>403353.3</v>
      </c>
      <c r="Q132" s="6" t="inlineStr">
        <is>
          <t>Pending</t>
        </is>
      </c>
      <c r="R132" s="6">
        <f>IFERROR(DATEVALUE(C132)-DATEVALUE(B132),"N/A")</f>
        <v/>
      </c>
      <c r="S132" s="6">
        <f>IF(AND(N132&lt;&gt;"",O132&lt;&gt;""),IF(N132&gt;O132,"Above","At/Below"),"N/A")</f>
        <v/>
      </c>
    </row>
    <row r="133">
      <c r="A133" s="10" t="inlineStr">
        <is>
          <t>TRD-000132</t>
        </is>
      </c>
      <c r="B133" s="10" t="inlineStr">
        <is>
          <t>2024-07-03</t>
        </is>
      </c>
      <c r="C133" s="10" t="inlineStr">
        <is>
          <t>2024-07-05</t>
        </is>
      </c>
      <c r="D133" s="10" t="inlineStr">
        <is>
          <t>Silver</t>
        </is>
      </c>
      <c r="E133" s="10" t="inlineStr">
        <is>
          <t>XAG</t>
        </is>
      </c>
      <c r="F133" s="10" t="inlineStr">
        <is>
          <t>Precious Metals</t>
        </is>
      </c>
      <c r="G133" s="10" t="inlineStr">
        <is>
          <t>PM-PROP-01</t>
        </is>
      </c>
      <c r="H133" s="10" t="inlineStr">
        <is>
          <t>A. Dubois</t>
        </is>
      </c>
      <c r="I133" s="10" t="inlineStr">
        <is>
          <t>HSBC Metals</t>
        </is>
      </c>
      <c r="J133" s="10" t="inlineStr">
        <is>
          <t>Sell</t>
        </is>
      </c>
      <c r="K133" s="10" t="inlineStr">
        <is>
          <t>Spot</t>
        </is>
      </c>
      <c r="L133" s="11" t="n">
        <v>28100</v>
      </c>
      <c r="M133" s="10" t="inlineStr">
        <is>
          <t>troy oz</t>
        </is>
      </c>
      <c r="N133" s="12" t="n">
        <v>29.4551</v>
      </c>
      <c r="O133" s="12" t="n">
        <v>29.4546</v>
      </c>
      <c r="P133" s="13" t="n">
        <v>827688.3100000001</v>
      </c>
      <c r="Q133" s="10" t="inlineStr">
        <is>
          <t>Confirmed</t>
        </is>
      </c>
      <c r="R133" s="10">
        <f>IFERROR(DATEVALUE(C133)-DATEVALUE(B133),"N/A")</f>
        <v/>
      </c>
      <c r="S133" s="10">
        <f>IF(AND(N133&lt;&gt;"",O133&lt;&gt;""),IF(N133&gt;O133,"Above","At/Below"),"N/A")</f>
        <v/>
      </c>
    </row>
    <row r="134">
      <c r="A134" s="6" t="inlineStr">
        <is>
          <t>TRD-000133</t>
        </is>
      </c>
      <c r="B134" s="6" t="inlineStr">
        <is>
          <t>2024-11-25</t>
        </is>
      </c>
      <c r="C134" s="6" t="inlineStr">
        <is>
          <t>2024-11-27</t>
        </is>
      </c>
      <c r="D134" s="6" t="inlineStr">
        <is>
          <t>Zinc</t>
        </is>
      </c>
      <c r="E134" s="6" t="inlineStr">
        <is>
          <t>ZN</t>
        </is>
      </c>
      <c r="F134" s="6" t="inlineStr">
        <is>
          <t>Base Metals</t>
        </is>
      </c>
      <c r="G134" s="6" t="inlineStr">
        <is>
          <t>BM-CLIENT-01</t>
        </is>
      </c>
      <c r="H134" s="6" t="inlineStr">
        <is>
          <t>S. Okonkwo</t>
        </is>
      </c>
      <c r="I134" s="6" t="inlineStr">
        <is>
          <t>JPMorgan Commodities</t>
        </is>
      </c>
      <c r="J134" s="6" t="inlineStr">
        <is>
          <t>Buy</t>
        </is>
      </c>
      <c r="K134" s="6" t="inlineStr">
        <is>
          <t>Forward</t>
        </is>
      </c>
      <c r="L134" s="7" t="n">
        <v>3200</v>
      </c>
      <c r="M134" s="6" t="inlineStr">
        <is>
          <t>MT</t>
        </is>
      </c>
      <c r="N134" s="8" t="n">
        <v>2696.4905</v>
      </c>
      <c r="O134" s="8" t="n">
        <v>2691.0402</v>
      </c>
      <c r="P134" s="9" t="n">
        <v>8628769.6</v>
      </c>
      <c r="Q134" s="6" t="inlineStr">
        <is>
          <t>Confirmed</t>
        </is>
      </c>
      <c r="R134" s="6">
        <f>IFERROR(DATEVALUE(C134)-DATEVALUE(B134),"N/A")</f>
        <v/>
      </c>
      <c r="S134" s="6">
        <f>IF(AND(N134&lt;&gt;"",O134&lt;&gt;""),IF(N134&gt;O134,"Above","At/Below"),"N/A")</f>
        <v/>
      </c>
    </row>
    <row r="135">
      <c r="A135" s="10" t="inlineStr">
        <is>
          <t>TRD-000134</t>
        </is>
      </c>
      <c r="B135" s="10" t="inlineStr">
        <is>
          <t>2024-10-25</t>
        </is>
      </c>
      <c r="C135" s="10" t="inlineStr">
        <is>
          <t>2024-10-27</t>
        </is>
      </c>
      <c r="D135" s="10" t="inlineStr">
        <is>
          <t>Aluminium</t>
        </is>
      </c>
      <c r="E135" s="10" t="inlineStr">
        <is>
          <t>AL</t>
        </is>
      </c>
      <c r="F135" s="10" t="inlineStr">
        <is>
          <t>Base Metals</t>
        </is>
      </c>
      <c r="G135" s="10" t="inlineStr">
        <is>
          <t>BM-PROP-01</t>
        </is>
      </c>
      <c r="H135" s="10" t="inlineStr">
        <is>
          <t>J. Kowalski</t>
        </is>
      </c>
      <c r="I135" s="10" t="inlineStr">
        <is>
          <t>Deutsche Bank</t>
        </is>
      </c>
      <c r="J135" s="10" t="inlineStr">
        <is>
          <t>Sell</t>
        </is>
      </c>
      <c r="K135" s="10" t="inlineStr">
        <is>
          <t>Spot</t>
        </is>
      </c>
      <c r="L135" s="11" t="n">
        <v>550</v>
      </c>
      <c r="M135" s="10" t="inlineStr">
        <is>
          <t>MT</t>
        </is>
      </c>
      <c r="N135" s="12" t="n">
        <v>2494.4607</v>
      </c>
      <c r="O135" s="12" t="n">
        <v>2490.271</v>
      </c>
      <c r="P135" s="13" t="n">
        <v>1371953.39</v>
      </c>
      <c r="Q135" s="10" t="inlineStr">
        <is>
          <t>Settled</t>
        </is>
      </c>
      <c r="R135" s="10">
        <f>IFERROR(DATEVALUE(C135)-DATEVALUE(B135),"N/A")</f>
        <v/>
      </c>
      <c r="S135" s="10">
        <f>IF(AND(N135&lt;&gt;"",O135&lt;&gt;""),IF(N135&gt;O135,"Above","At/Below"),"N/A")</f>
        <v/>
      </c>
    </row>
    <row r="136">
      <c r="A136" s="6" t="inlineStr">
        <is>
          <t>TRD-000135</t>
        </is>
      </c>
      <c r="B136" s="6" t="inlineStr">
        <is>
          <t>2024-10-04</t>
        </is>
      </c>
      <c r="C136" s="6" t="inlineStr">
        <is>
          <t>2024-10-06</t>
        </is>
      </c>
      <c r="D136" s="6" t="inlineStr">
        <is>
          <t>Gold</t>
        </is>
      </c>
      <c r="E136" s="6" t="inlineStr">
        <is>
          <t>XAU</t>
        </is>
      </c>
      <c r="F136" s="6" t="inlineStr">
        <is>
          <t>Precious Metals</t>
        </is>
      </c>
      <c r="G136" s="6" t="inlineStr">
        <is>
          <t>PM-CLIENT-01</t>
        </is>
      </c>
      <c r="H136" s="6" t="inlineStr">
        <is>
          <t>M. Patel</t>
        </is>
      </c>
      <c r="I136" s="6" t="inlineStr">
        <is>
          <t>Goldman Sachs</t>
        </is>
      </c>
      <c r="J136" s="6" t="inlineStr">
        <is>
          <t>Sell</t>
        </is>
      </c>
      <c r="K136" s="6" t="inlineStr">
        <is>
          <t>Forward</t>
        </is>
      </c>
      <c r="L136" s="7" t="n">
        <v>900</v>
      </c>
      <c r="M136" s="6" t="inlineStr">
        <is>
          <t>troy oz</t>
        </is>
      </c>
      <c r="N136" s="8" t="n">
        <v>2293.0559</v>
      </c>
      <c r="O136" s="8" t="n">
        <v>2292.1078</v>
      </c>
      <c r="P136" s="9" t="n">
        <v>2063750.31</v>
      </c>
      <c r="Q136" s="6" t="inlineStr">
        <is>
          <t>Pending</t>
        </is>
      </c>
      <c r="R136" s="6">
        <f>IFERROR(DATEVALUE(C136)-DATEVALUE(B136),"N/A")</f>
        <v/>
      </c>
      <c r="S136" s="6">
        <f>IF(AND(N136&lt;&gt;"",O136&lt;&gt;""),IF(N136&gt;O136,"Above","At/Below"),"N/A")</f>
        <v/>
      </c>
    </row>
    <row r="137">
      <c r="A137" s="10" t="inlineStr">
        <is>
          <t>TRD-000136</t>
        </is>
      </c>
      <c r="B137" s="10" t="inlineStr">
        <is>
          <t>2024-02-01</t>
        </is>
      </c>
      <c r="C137" s="10" t="inlineStr">
        <is>
          <t>2024-02-03</t>
        </is>
      </c>
      <c r="D137" s="10" t="inlineStr">
        <is>
          <t>Aluminium</t>
        </is>
      </c>
      <c r="E137" s="10" t="inlineStr">
        <is>
          <t>AL</t>
        </is>
      </c>
      <c r="F137" s="10" t="inlineStr">
        <is>
          <t>Base Metals</t>
        </is>
      </c>
      <c r="G137" s="10" t="inlineStr">
        <is>
          <t>BM-PROP-01</t>
        </is>
      </c>
      <c r="H137" s="10" t="inlineStr">
        <is>
          <t>T. Vasquez</t>
        </is>
      </c>
      <c r="I137" s="10" t="inlineStr">
        <is>
          <t>Morgan Stanley</t>
        </is>
      </c>
      <c r="J137" s="10" t="inlineStr">
        <is>
          <t>Buy</t>
        </is>
      </c>
      <c r="K137" s="10" t="inlineStr">
        <is>
          <t>Option</t>
        </is>
      </c>
      <c r="L137" s="11" t="n">
        <v>4125</v>
      </c>
      <c r="M137" s="10" t="inlineStr">
        <is>
          <t>MT</t>
        </is>
      </c>
      <c r="N137" s="12" t="n">
        <v>2468.1472</v>
      </c>
      <c r="O137" s="12" t="n">
        <v>2461.2734</v>
      </c>
      <c r="P137" s="13" t="n">
        <v>10181107.2</v>
      </c>
      <c r="Q137" s="10" t="inlineStr">
        <is>
          <t>Confirmed</t>
        </is>
      </c>
      <c r="R137" s="10">
        <f>IFERROR(DATEVALUE(C137)-DATEVALUE(B137),"N/A")</f>
        <v/>
      </c>
      <c r="S137" s="10">
        <f>IF(AND(N137&lt;&gt;"",O137&lt;&gt;""),IF(N137&gt;O137,"Above","At/Below"),"N/A")</f>
        <v/>
      </c>
    </row>
    <row r="138">
      <c r="A138" s="6" t="inlineStr">
        <is>
          <t>TRD-000137</t>
        </is>
      </c>
      <c r="B138" s="6" t="inlineStr">
        <is>
          <t>2024-11-25</t>
        </is>
      </c>
      <c r="C138" s="6" t="inlineStr">
        <is>
          <t>2024-11-27</t>
        </is>
      </c>
      <c r="D138" s="6" t="inlineStr">
        <is>
          <t>Platinum</t>
        </is>
      </c>
      <c r="E138" s="6" t="inlineStr">
        <is>
          <t>XPT</t>
        </is>
      </c>
      <c r="F138" s="6" t="inlineStr">
        <is>
          <t>Precious Metals</t>
        </is>
      </c>
      <c r="G138" s="6" t="inlineStr">
        <is>
          <t>PM-PROP-01</t>
        </is>
      </c>
      <c r="H138" s="6" t="inlineStr">
        <is>
          <t>A. Dubois</t>
        </is>
      </c>
      <c r="I138" s="6" t="inlineStr">
        <is>
          <t>Barclays Metals</t>
        </is>
      </c>
      <c r="J138" s="6" t="inlineStr">
        <is>
          <t>Buy</t>
        </is>
      </c>
      <c r="K138" s="6" t="inlineStr">
        <is>
          <t>Option</t>
        </is>
      </c>
      <c r="L138" s="7" t="n">
        <v>2300</v>
      </c>
      <c r="M138" s="6" t="inlineStr">
        <is>
          <t>troy oz</t>
        </is>
      </c>
      <c r="N138" s="8" t="n">
        <v>959.9582</v>
      </c>
      <c r="O138" s="8" t="n">
        <v>959.7574</v>
      </c>
      <c r="P138" s="9" t="n">
        <v>2207903.86</v>
      </c>
      <c r="Q138" s="6" t="inlineStr">
        <is>
          <t>Confirmed</t>
        </is>
      </c>
      <c r="R138" s="6">
        <f>IFERROR(DATEVALUE(C138)-DATEVALUE(B138),"N/A")</f>
        <v/>
      </c>
      <c r="S138" s="6">
        <f>IF(AND(N138&lt;&gt;"",O138&lt;&gt;""),IF(N138&gt;O138,"Above","At/Below"),"N/A")</f>
        <v/>
      </c>
    </row>
    <row r="139">
      <c r="A139" s="10" t="inlineStr">
        <is>
          <t>TRD-000138</t>
        </is>
      </c>
      <c r="B139" s="10" t="inlineStr">
        <is>
          <t>2024-01-26</t>
        </is>
      </c>
      <c r="C139" s="10" t="inlineStr">
        <is>
          <t>2024-04-25</t>
        </is>
      </c>
      <c r="D139" s="10" t="inlineStr">
        <is>
          <t>Nickel</t>
        </is>
      </c>
      <c r="E139" s="10" t="inlineStr">
        <is>
          <t>NI</t>
        </is>
      </c>
      <c r="F139" s="10" t="inlineStr">
        <is>
          <t>Base Metals</t>
        </is>
      </c>
      <c r="G139" s="10" t="inlineStr">
        <is>
          <t>BM-HEDGE-01</t>
        </is>
      </c>
      <c r="H139" s="10" t="inlineStr">
        <is>
          <t>M. Patel</t>
        </is>
      </c>
      <c r="I139" s="10" t="inlineStr">
        <is>
          <t>UBS AG</t>
        </is>
      </c>
      <c r="J139" s="10" t="inlineStr">
        <is>
          <t>Buy</t>
        </is>
      </c>
      <c r="K139" s="10" t="inlineStr">
        <is>
          <t>Option</t>
        </is>
      </c>
      <c r="L139" s="11" t="n">
        <v>2300</v>
      </c>
      <c r="M139" s="10" t="inlineStr">
        <is>
          <t>MT</t>
        </is>
      </c>
      <c r="N139" s="12" t="n">
        <v>16964.9169</v>
      </c>
      <c r="O139" s="12" t="n">
        <v>16959.431</v>
      </c>
      <c r="P139" s="13" t="n">
        <v>39019308.87</v>
      </c>
      <c r="Q139" s="10" t="inlineStr">
        <is>
          <t>Confirmed</t>
        </is>
      </c>
      <c r="R139" s="10">
        <f>IFERROR(DATEVALUE(C139)-DATEVALUE(B139),"N/A")</f>
        <v/>
      </c>
      <c r="S139" s="10">
        <f>IF(AND(N139&lt;&gt;"",O139&lt;&gt;""),IF(N139&gt;O139,"Above","At/Below"),"N/A")</f>
        <v/>
      </c>
    </row>
    <row r="140">
      <c r="A140" s="6" t="inlineStr">
        <is>
          <t>TRD-000139</t>
        </is>
      </c>
      <c r="B140" s="6" t="inlineStr">
        <is>
          <t>2024-11-12</t>
        </is>
      </c>
      <c r="C140" s="6" t="inlineStr">
        <is>
          <t>2024-11-17</t>
        </is>
      </c>
      <c r="D140" s="6" t="inlineStr">
        <is>
          <t>Zinc</t>
        </is>
      </c>
      <c r="E140" s="6" t="inlineStr">
        <is>
          <t>ZN</t>
        </is>
      </c>
      <c r="F140" s="6" t="inlineStr">
        <is>
          <t>Base Metals</t>
        </is>
      </c>
      <c r="G140" s="6" t="inlineStr">
        <is>
          <t>BM-CLIENT-01</t>
        </is>
      </c>
      <c r="H140" s="6" t="inlineStr">
        <is>
          <t>A. Dubois</t>
        </is>
      </c>
      <c r="I140" s="6" t="inlineStr">
        <is>
          <t>HSBC Metals</t>
        </is>
      </c>
      <c r="J140" s="6" t="inlineStr">
        <is>
          <t>Sell</t>
        </is>
      </c>
      <c r="K140" s="6" t="inlineStr">
        <is>
          <t>Forward</t>
        </is>
      </c>
      <c r="L140" s="7" t="n">
        <v>1200</v>
      </c>
      <c r="M140" s="6" t="inlineStr">
        <is>
          <t>MT</t>
        </is>
      </c>
      <c r="N140" s="8" t="n">
        <v>2756.5045</v>
      </c>
      <c r="O140" s="8" t="n">
        <v>2754.9303</v>
      </c>
      <c r="P140" s="9" t="n">
        <v>3307805.4</v>
      </c>
      <c r="Q140" s="6" t="inlineStr">
        <is>
          <t>Pending</t>
        </is>
      </c>
      <c r="R140" s="6">
        <f>IFERROR(DATEVALUE(C140)-DATEVALUE(B140),"N/A")</f>
        <v/>
      </c>
      <c r="S140" s="6">
        <f>IF(AND(N140&lt;&gt;"",O140&lt;&gt;""),IF(N140&gt;O140,"Above","At/Below"),"N/A")</f>
        <v/>
      </c>
    </row>
    <row r="141">
      <c r="A141" s="10" t="inlineStr">
        <is>
          <t>TRD-000140</t>
        </is>
      </c>
      <c r="B141" s="10" t="inlineStr">
        <is>
          <t>2024-05-09</t>
        </is>
      </c>
      <c r="C141" s="10" t="inlineStr">
        <is>
          <t>2024-06-08</t>
        </is>
      </c>
      <c r="D141" s="10" t="inlineStr">
        <is>
          <t>Silver</t>
        </is>
      </c>
      <c r="E141" s="10" t="inlineStr">
        <is>
          <t>XAG</t>
        </is>
      </c>
      <c r="F141" s="10" t="inlineStr">
        <is>
          <t>Precious Metals</t>
        </is>
      </c>
      <c r="G141" s="10" t="inlineStr">
        <is>
          <t>PM-HEDGE-01</t>
        </is>
      </c>
      <c r="H141" s="10" t="inlineStr">
        <is>
          <t>T. Vasquez</t>
        </is>
      </c>
      <c r="I141" s="10" t="inlineStr">
        <is>
          <t>Goldman Sachs</t>
        </is>
      </c>
      <c r="J141" s="10" t="inlineStr">
        <is>
          <t>Buy</t>
        </is>
      </c>
      <c r="K141" s="10" t="inlineStr">
        <is>
          <t>Spot</t>
        </is>
      </c>
      <c r="L141" s="11" t="n">
        <v>5300</v>
      </c>
      <c r="M141" s="10" t="inlineStr">
        <is>
          <t>troy oz</t>
        </is>
      </c>
      <c r="N141" s="12" t="n">
        <v>27.9141</v>
      </c>
      <c r="O141" s="12" t="n">
        <v>27.9122</v>
      </c>
      <c r="P141" s="13" t="n">
        <v>147944.73</v>
      </c>
      <c r="Q141" s="10" t="inlineStr">
        <is>
          <t>Pending</t>
        </is>
      </c>
      <c r="R141" s="10">
        <f>IFERROR(DATEVALUE(C141)-DATEVALUE(B141),"N/A")</f>
        <v/>
      </c>
      <c r="S141" s="10">
        <f>IF(AND(N141&lt;&gt;"",O141&lt;&gt;""),IF(N141&gt;O141,"Above","At/Below"),"N/A")</f>
        <v/>
      </c>
    </row>
    <row r="142">
      <c r="A142" s="6" t="inlineStr">
        <is>
          <t>TRD-000141</t>
        </is>
      </c>
      <c r="B142" s="6" t="inlineStr">
        <is>
          <t>2024-11-14</t>
        </is>
      </c>
      <c r="C142" s="6" t="inlineStr">
        <is>
          <t>2024-11-16</t>
        </is>
      </c>
      <c r="D142" s="6" t="inlineStr">
        <is>
          <t>Platinum</t>
        </is>
      </c>
      <c r="E142" s="6" t="inlineStr">
        <is>
          <t>XPT</t>
        </is>
      </c>
      <c r="F142" s="6" t="inlineStr">
        <is>
          <t>Precious Metals</t>
        </is>
      </c>
      <c r="G142" s="6" t="inlineStr">
        <is>
          <t>PM-CLIENT-01</t>
        </is>
      </c>
      <c r="H142" s="6" t="inlineStr">
        <is>
          <t>J. Kowalski</t>
        </is>
      </c>
      <c r="I142" s="6" t="inlineStr">
        <is>
          <t>HSBC Metals</t>
        </is>
      </c>
      <c r="J142" s="6" t="inlineStr">
        <is>
          <t>Sell</t>
        </is>
      </c>
      <c r="K142" s="6" t="inlineStr">
        <is>
          <t>Forward</t>
        </is>
      </c>
      <c r="L142" s="7" t="n">
        <v>37300</v>
      </c>
      <c r="M142" s="6" t="inlineStr">
        <is>
          <t>troy oz</t>
        </is>
      </c>
      <c r="N142" s="8" t="n">
        <v>975.837</v>
      </c>
      <c r="O142" s="8" t="n">
        <v>974.8187</v>
      </c>
      <c r="P142" s="9" t="n">
        <v>36398720.1</v>
      </c>
      <c r="Q142" s="6" t="inlineStr">
        <is>
          <t>Pending</t>
        </is>
      </c>
      <c r="R142" s="6">
        <f>IFERROR(DATEVALUE(C142)-DATEVALUE(B142),"N/A")</f>
        <v/>
      </c>
      <c r="S142" s="6">
        <f>IF(AND(N142&lt;&gt;"",O142&lt;&gt;""),IF(N142&gt;O142,"Above","At/Below"),"N/A")</f>
        <v/>
      </c>
    </row>
    <row r="143">
      <c r="A143" s="10" t="inlineStr">
        <is>
          <t>TRD-000142</t>
        </is>
      </c>
      <c r="B143" s="10" t="inlineStr">
        <is>
          <t>2024-04-24</t>
        </is>
      </c>
      <c r="C143" s="10" t="inlineStr">
        <is>
          <t>2024-04-26</t>
        </is>
      </c>
      <c r="D143" s="10" t="inlineStr">
        <is>
          <t>Zinc</t>
        </is>
      </c>
      <c r="E143" s="10" t="inlineStr">
        <is>
          <t>ZN</t>
        </is>
      </c>
      <c r="F143" s="10" t="inlineStr">
        <is>
          <t>Base Metals</t>
        </is>
      </c>
      <c r="G143" s="10" t="inlineStr">
        <is>
          <t>BM-HEDGE-01</t>
        </is>
      </c>
      <c r="H143" s="10" t="inlineStr">
        <is>
          <t>R. Nakamura</t>
        </is>
      </c>
      <c r="I143" s="10" t="inlineStr">
        <is>
          <t>UBS AG</t>
        </is>
      </c>
      <c r="J143" s="10" t="inlineStr">
        <is>
          <t>Sell</t>
        </is>
      </c>
      <c r="K143" s="10" t="inlineStr">
        <is>
          <t>Spot</t>
        </is>
      </c>
      <c r="L143" s="11" t="n">
        <v>3900</v>
      </c>
      <c r="M143" s="10" t="inlineStr">
        <is>
          <t>MT</t>
        </is>
      </c>
      <c r="N143" s="12" t="n">
        <v>2695.849</v>
      </c>
      <c r="O143" s="12" t="n">
        <v>2699.9783</v>
      </c>
      <c r="P143" s="13" t="n">
        <v>10513811.1</v>
      </c>
      <c r="Q143" s="10" t="inlineStr">
        <is>
          <t>Confirmed</t>
        </is>
      </c>
      <c r="R143" s="10">
        <f>IFERROR(DATEVALUE(C143)-DATEVALUE(B143),"N/A")</f>
        <v/>
      </c>
      <c r="S143" s="10">
        <f>IF(AND(N143&lt;&gt;"",O143&lt;&gt;""),IF(N143&gt;O143,"Above","At/Below"),"N/A")</f>
        <v/>
      </c>
    </row>
    <row r="144">
      <c r="A144" s="6" t="inlineStr">
        <is>
          <t>TRD-000143</t>
        </is>
      </c>
      <c r="B144" s="6" t="inlineStr">
        <is>
          <t>2024-04-19</t>
        </is>
      </c>
      <c r="C144" s="6" t="inlineStr">
        <is>
          <t>2024-07-18</t>
        </is>
      </c>
      <c r="D144" s="6" t="inlineStr">
        <is>
          <t>Gold</t>
        </is>
      </c>
      <c r="E144" s="6" t="inlineStr">
        <is>
          <t>XAU</t>
        </is>
      </c>
      <c r="F144" s="6" t="inlineStr">
        <is>
          <t>Precious Metals</t>
        </is>
      </c>
      <c r="G144" s="6" t="inlineStr">
        <is>
          <t>PM-CLIENT-01</t>
        </is>
      </c>
      <c r="H144" s="6" t="inlineStr">
        <is>
          <t>S. Okonkwo</t>
        </is>
      </c>
      <c r="I144" s="6" t="inlineStr">
        <is>
          <t>Barclays Metals</t>
        </is>
      </c>
      <c r="J144" s="6" t="inlineStr">
        <is>
          <t>Sell</t>
        </is>
      </c>
      <c r="K144" s="6" t="inlineStr">
        <is>
          <t>Spot</t>
        </is>
      </c>
      <c r="L144" s="7" t="n">
        <v>19000</v>
      </c>
      <c r="M144" s="6" t="inlineStr">
        <is>
          <t>troy oz</t>
        </is>
      </c>
      <c r="N144" s="8" t="n">
        <v>2334.8138</v>
      </c>
      <c r="O144" s="8" t="n">
        <v>2338.2318</v>
      </c>
      <c r="P144" s="9" t="n">
        <v>44361462.2</v>
      </c>
      <c r="Q144" s="6" t="inlineStr">
        <is>
          <t>Confirmed</t>
        </is>
      </c>
      <c r="R144" s="6">
        <f>IFERROR(DATEVALUE(C144)-DATEVALUE(B144),"N/A")</f>
        <v/>
      </c>
      <c r="S144" s="6">
        <f>IF(AND(N144&lt;&gt;"",O144&lt;&gt;""),IF(N144&gt;O144,"Above","At/Below"),"N/A")</f>
        <v/>
      </c>
    </row>
    <row r="145">
      <c r="A145" s="10" t="inlineStr">
        <is>
          <t>TRD-000144</t>
        </is>
      </c>
      <c r="B145" s="10" t="inlineStr">
        <is>
          <t>2024-07-18</t>
        </is>
      </c>
      <c r="C145" s="10" t="inlineStr">
        <is>
          <t>2024-07-20</t>
        </is>
      </c>
      <c r="D145" s="10" t="inlineStr">
        <is>
          <t>Aluminium</t>
        </is>
      </c>
      <c r="E145" s="10" t="inlineStr">
        <is>
          <t>AL</t>
        </is>
      </c>
      <c r="F145" s="10" t="inlineStr">
        <is>
          <t>Base Metals</t>
        </is>
      </c>
      <c r="G145" s="10" t="inlineStr">
        <is>
          <t>BM-CLIENT-01</t>
        </is>
      </c>
      <c r="H145" s="10" t="inlineStr">
        <is>
          <t>M. Patel</t>
        </is>
      </c>
      <c r="I145" s="10" t="inlineStr">
        <is>
          <t>JPMorgan Commodities</t>
        </is>
      </c>
      <c r="J145" s="10" t="inlineStr">
        <is>
          <t>Buy</t>
        </is>
      </c>
      <c r="K145" s="10" t="inlineStr">
        <is>
          <t>Spot</t>
        </is>
      </c>
      <c r="L145" s="11" t="n">
        <v>175</v>
      </c>
      <c r="M145" s="10" t="inlineStr">
        <is>
          <t>MT</t>
        </is>
      </c>
      <c r="N145" s="12" t="n">
        <v>2564.6442</v>
      </c>
      <c r="O145" s="12" t="n">
        <v>2562.8274</v>
      </c>
      <c r="P145" s="13" t="n">
        <v>448812.74</v>
      </c>
      <c r="Q145" s="10" t="inlineStr">
        <is>
          <t>Settled</t>
        </is>
      </c>
      <c r="R145" s="10">
        <f>IFERROR(DATEVALUE(C145)-DATEVALUE(B145),"N/A")</f>
        <v/>
      </c>
      <c r="S145" s="10">
        <f>IF(AND(N145&lt;&gt;"",O145&lt;&gt;""),IF(N145&gt;O145,"Above","At/Below"),"N/A")</f>
        <v/>
      </c>
    </row>
    <row r="146">
      <c r="A146" s="6" t="inlineStr">
        <is>
          <t>TRD-000145</t>
        </is>
      </c>
      <c r="B146" s="6" t="inlineStr">
        <is>
          <t>2024-07-24</t>
        </is>
      </c>
      <c r="C146" s="6" t="inlineStr">
        <is>
          <t>2024-10-22</t>
        </is>
      </c>
      <c r="D146" s="6" t="inlineStr">
        <is>
          <t>Nickel</t>
        </is>
      </c>
      <c r="E146" s="6" t="inlineStr">
        <is>
          <t>NI</t>
        </is>
      </c>
      <c r="F146" s="6" t="inlineStr">
        <is>
          <t>Base Metals</t>
        </is>
      </c>
      <c r="G146" s="6" t="inlineStr">
        <is>
          <t>BM-PROP-01</t>
        </is>
      </c>
      <c r="H146" s="6" t="inlineStr">
        <is>
          <t>T. Vasquez</t>
        </is>
      </c>
      <c r="I146" s="6" t="inlineStr">
        <is>
          <t>Standard Chartered</t>
        </is>
      </c>
      <c r="J146" s="6" t="inlineStr">
        <is>
          <t>Buy</t>
        </is>
      </c>
      <c r="K146" s="6" t="inlineStr">
        <is>
          <t>Spot</t>
        </is>
      </c>
      <c r="L146" s="7" t="n">
        <v>3150</v>
      </c>
      <c r="M146" s="6" t="inlineStr">
        <is>
          <t>MT</t>
        </is>
      </c>
      <c r="N146" s="8" t="n">
        <v>18301.2027</v>
      </c>
      <c r="O146" s="8" t="n">
        <v>18228.8381</v>
      </c>
      <c r="P146" s="9" t="n">
        <v>57648788.51</v>
      </c>
      <c r="Q146" s="6" t="inlineStr">
        <is>
          <t>Settled</t>
        </is>
      </c>
      <c r="R146" s="6">
        <f>IFERROR(DATEVALUE(C146)-DATEVALUE(B146),"N/A")</f>
        <v/>
      </c>
      <c r="S146" s="6">
        <f>IF(AND(N146&lt;&gt;"",O146&lt;&gt;""),IF(N146&gt;O146,"Above","At/Below"),"N/A")</f>
        <v/>
      </c>
    </row>
    <row r="147">
      <c r="A147" s="10" t="inlineStr">
        <is>
          <t>TRD-000146</t>
        </is>
      </c>
      <c r="B147" s="10" t="inlineStr">
        <is>
          <t>2024-08-16</t>
        </is>
      </c>
      <c r="C147" s="10" t="inlineStr">
        <is>
          <t>2024-11-14</t>
        </is>
      </c>
      <c r="D147" s="10" t="inlineStr">
        <is>
          <t>Nickel</t>
        </is>
      </c>
      <c r="E147" s="10" t="inlineStr">
        <is>
          <t>NI</t>
        </is>
      </c>
      <c r="F147" s="10" t="inlineStr">
        <is>
          <t>Base Metals</t>
        </is>
      </c>
      <c r="G147" s="10" t="inlineStr">
        <is>
          <t>BM-PROP-01</t>
        </is>
      </c>
      <c r="H147" s="10" t="inlineStr">
        <is>
          <t>S. Okonkwo</t>
        </is>
      </c>
      <c r="I147" s="10" t="inlineStr">
        <is>
          <t>UBS AG</t>
        </is>
      </c>
      <c r="J147" s="10" t="inlineStr">
        <is>
          <t>Sell</t>
        </is>
      </c>
      <c r="K147" s="10" t="inlineStr">
        <is>
          <t>Option</t>
        </is>
      </c>
      <c r="L147" s="11" t="n">
        <v>425</v>
      </c>
      <c r="M147" s="10" t="inlineStr">
        <is>
          <t>MT</t>
        </is>
      </c>
      <c r="N147" s="12" t="n">
        <v>17301.2289</v>
      </c>
      <c r="O147" s="12" t="n">
        <v>17232.9943</v>
      </c>
      <c r="P147" s="13" t="n">
        <v>7353022.28</v>
      </c>
      <c r="Q147" s="10" t="inlineStr">
        <is>
          <t>Confirmed</t>
        </is>
      </c>
      <c r="R147" s="10">
        <f>IFERROR(DATEVALUE(C147)-DATEVALUE(B147),"N/A")</f>
        <v/>
      </c>
      <c r="S147" s="10">
        <f>IF(AND(N147&lt;&gt;"",O147&lt;&gt;""),IF(N147&gt;O147,"Above","At/Below"),"N/A")</f>
        <v/>
      </c>
    </row>
    <row r="148">
      <c r="A148" s="6" t="inlineStr">
        <is>
          <t>TRD-000147</t>
        </is>
      </c>
      <c r="B148" s="6" t="inlineStr">
        <is>
          <t>2024-04-10</t>
        </is>
      </c>
      <c r="C148" s="6" t="inlineStr">
        <is>
          <t>2024-04-12</t>
        </is>
      </c>
      <c r="D148" s="6" t="inlineStr">
        <is>
          <t>Silver</t>
        </is>
      </c>
      <c r="E148" s="6" t="inlineStr">
        <is>
          <t>XAG</t>
        </is>
      </c>
      <c r="F148" s="6" t="inlineStr">
        <is>
          <t>Precious Metals</t>
        </is>
      </c>
      <c r="G148" s="6" t="inlineStr">
        <is>
          <t>PM-PROP-01</t>
        </is>
      </c>
      <c r="H148" s="6" t="inlineStr">
        <is>
          <t>S. Okonkwo</t>
        </is>
      </c>
      <c r="I148" s="6" t="inlineStr">
        <is>
          <t>Goldman Sachs</t>
        </is>
      </c>
      <c r="J148" s="6" t="inlineStr">
        <is>
          <t>Sell</t>
        </is>
      </c>
      <c r="K148" s="6" t="inlineStr">
        <is>
          <t>Forward</t>
        </is>
      </c>
      <c r="L148" s="7" t="n">
        <v>1400</v>
      </c>
      <c r="M148" s="6" t="inlineStr">
        <is>
          <t>troy oz</t>
        </is>
      </c>
      <c r="N148" s="8" t="n">
        <v>29.3447</v>
      </c>
      <c r="O148" s="8" t="n">
        <v>29.3276</v>
      </c>
      <c r="P148" s="9" t="n">
        <v>41082.58</v>
      </c>
      <c r="Q148" s="6" t="inlineStr">
        <is>
          <t>Settled</t>
        </is>
      </c>
      <c r="R148" s="6">
        <f>IFERROR(DATEVALUE(C148)-DATEVALUE(B148),"N/A")</f>
        <v/>
      </c>
      <c r="S148" s="6">
        <f>IF(AND(N148&lt;&gt;"",O148&lt;&gt;""),IF(N148&gt;O148,"Above","At/Below"),"N/A")</f>
        <v/>
      </c>
    </row>
    <row r="149">
      <c r="A149" s="10" t="inlineStr">
        <is>
          <t>TRD-000148</t>
        </is>
      </c>
      <c r="B149" s="10" t="inlineStr">
        <is>
          <t>2024-10-11</t>
        </is>
      </c>
      <c r="C149" s="10" t="inlineStr">
        <is>
          <t>2025-01-09</t>
        </is>
      </c>
      <c r="D149" s="10" t="inlineStr">
        <is>
          <t>Silver</t>
        </is>
      </c>
      <c r="E149" s="10" t="inlineStr">
        <is>
          <t>XAG</t>
        </is>
      </c>
      <c r="F149" s="10" t="inlineStr">
        <is>
          <t>Precious Metals</t>
        </is>
      </c>
      <c r="G149" s="10" t="inlineStr">
        <is>
          <t>PM-HEDGE-01</t>
        </is>
      </c>
      <c r="H149" s="10" t="inlineStr">
        <is>
          <t>M. Patel</t>
        </is>
      </c>
      <c r="I149" s="10" t="inlineStr">
        <is>
          <t>Standard Chartered</t>
        </is>
      </c>
      <c r="J149" s="10" t="inlineStr">
        <is>
          <t>Sell</t>
        </is>
      </c>
      <c r="K149" s="10" t="inlineStr">
        <is>
          <t>Forward</t>
        </is>
      </c>
      <c r="L149" s="11" t="n">
        <v>27000</v>
      </c>
      <c r="M149" s="10" t="inlineStr">
        <is>
          <t>troy oz</t>
        </is>
      </c>
      <c r="N149" s="12" t="n">
        <v>29.2334</v>
      </c>
      <c r="O149" s="12" t="n">
        <v>29.1238</v>
      </c>
      <c r="P149" s="13" t="n">
        <v>789301.8</v>
      </c>
      <c r="Q149" s="10" t="inlineStr">
        <is>
          <t>Cancelled</t>
        </is>
      </c>
      <c r="R149" s="10">
        <f>IFERROR(DATEVALUE(C149)-DATEVALUE(B149),"N/A")</f>
        <v/>
      </c>
      <c r="S149" s="10">
        <f>IF(AND(N149&lt;&gt;"",O149&lt;&gt;""),IF(N149&gt;O149,"Above","At/Below"),"N/A")</f>
        <v/>
      </c>
    </row>
    <row r="150">
      <c r="A150" s="6" t="inlineStr">
        <is>
          <t>TRD-000149</t>
        </is>
      </c>
      <c r="B150" s="6" t="inlineStr">
        <is>
          <t>2024-11-29</t>
        </is>
      </c>
      <c r="C150" s="6" t="inlineStr">
        <is>
          <t>2025-02-27</t>
        </is>
      </c>
      <c r="D150" s="6" t="inlineStr">
        <is>
          <t>Silver</t>
        </is>
      </c>
      <c r="E150" s="6" t="inlineStr">
        <is>
          <t>XAG</t>
        </is>
      </c>
      <c r="F150" s="6" t="inlineStr">
        <is>
          <t>Precious Metals</t>
        </is>
      </c>
      <c r="G150" s="6" t="inlineStr">
        <is>
          <t>PM-HEDGE-01</t>
        </is>
      </c>
      <c r="H150" s="6" t="inlineStr">
        <is>
          <t>J. Kowalski</t>
        </is>
      </c>
      <c r="I150" s="6" t="inlineStr">
        <is>
          <t>HSBC Metals</t>
        </is>
      </c>
      <c r="J150" s="6" t="inlineStr">
        <is>
          <t>Buy</t>
        </is>
      </c>
      <c r="K150" s="6" t="inlineStr">
        <is>
          <t>Forward</t>
        </is>
      </c>
      <c r="L150" s="7" t="n">
        <v>6600</v>
      </c>
      <c r="M150" s="6" t="inlineStr">
        <is>
          <t>troy oz</t>
        </is>
      </c>
      <c r="N150" s="8" t="n">
        <v>28.5182</v>
      </c>
      <c r="O150" s="8" t="n">
        <v>28.5495</v>
      </c>
      <c r="P150" s="9" t="n">
        <v>188220.12</v>
      </c>
      <c r="Q150" s="6" t="inlineStr">
        <is>
          <t>Confirmed</t>
        </is>
      </c>
      <c r="R150" s="6">
        <f>IFERROR(DATEVALUE(C150)-DATEVALUE(B150),"N/A")</f>
        <v/>
      </c>
      <c r="S150" s="6">
        <f>IF(AND(N150&lt;&gt;"",O150&lt;&gt;""),IF(N150&gt;O150,"Above","At/Below"),"N/A")</f>
        <v/>
      </c>
    </row>
    <row r="151">
      <c r="A151" s="10" t="inlineStr">
        <is>
          <t>TRD-000150</t>
        </is>
      </c>
      <c r="B151" s="10" t="inlineStr">
        <is>
          <t>2024-04-25</t>
        </is>
      </c>
      <c r="C151" s="10" t="inlineStr">
        <is>
          <t>2024-04-27</t>
        </is>
      </c>
      <c r="D151" s="10" t="inlineStr">
        <is>
          <t>Copper</t>
        </is>
      </c>
      <c r="E151" s="10" t="inlineStr">
        <is>
          <t>HG</t>
        </is>
      </c>
      <c r="F151" s="10" t="inlineStr">
        <is>
          <t>Base Metals</t>
        </is>
      </c>
      <c r="G151" s="10" t="inlineStr">
        <is>
          <t>BM-PROP-01</t>
        </is>
      </c>
      <c r="H151" s="10" t="inlineStr">
        <is>
          <t>A. Dubois</t>
        </is>
      </c>
      <c r="I151" s="10" t="inlineStr">
        <is>
          <t>HSBC Metals</t>
        </is>
      </c>
      <c r="J151" s="10" t="inlineStr">
        <is>
          <t>Sell</t>
        </is>
      </c>
      <c r="K151" s="10" t="inlineStr">
        <is>
          <t>Swap</t>
        </is>
      </c>
      <c r="L151" s="11" t="n">
        <v>1450</v>
      </c>
      <c r="M151" s="10" t="inlineStr">
        <is>
          <t>lbs</t>
        </is>
      </c>
      <c r="N151" s="12" t="n">
        <v>4.3375</v>
      </c>
      <c r="O151" s="12" t="n">
        <v>4.3304</v>
      </c>
      <c r="P151" s="13" t="n">
        <v>6289.38</v>
      </c>
      <c r="Q151" s="10" t="inlineStr">
        <is>
          <t>Confirmed</t>
        </is>
      </c>
      <c r="R151" s="10">
        <f>IFERROR(DATEVALUE(C151)-DATEVALUE(B151),"N/A")</f>
        <v/>
      </c>
      <c r="S151" s="10">
        <f>IF(AND(N151&lt;&gt;"",O151&lt;&gt;""),IF(N151&gt;O151,"Above","At/Below"),"N/A")</f>
        <v/>
      </c>
    </row>
    <row r="152">
      <c r="A152" s="6" t="inlineStr">
        <is>
          <t>TRD-000151</t>
        </is>
      </c>
      <c r="B152" s="6" t="inlineStr">
        <is>
          <t>2024-08-06</t>
        </is>
      </c>
      <c r="C152" s="6" t="inlineStr">
        <is>
          <t>2024-09-05</t>
        </is>
      </c>
      <c r="D152" s="6" t="inlineStr">
        <is>
          <t>Copper</t>
        </is>
      </c>
      <c r="E152" s="6" t="inlineStr">
        <is>
          <t>HG</t>
        </is>
      </c>
      <c r="F152" s="6" t="inlineStr">
        <is>
          <t>Base Metals</t>
        </is>
      </c>
      <c r="G152" s="6" t="inlineStr">
        <is>
          <t>BM-PROP-01</t>
        </is>
      </c>
      <c r="H152" s="6" t="inlineStr">
        <is>
          <t>S. Okonkwo</t>
        </is>
      </c>
      <c r="I152" s="6" t="inlineStr">
        <is>
          <t>Morgan Stanley</t>
        </is>
      </c>
      <c r="J152" s="6" t="inlineStr">
        <is>
          <t>Buy</t>
        </is>
      </c>
      <c r="K152" s="6" t="inlineStr">
        <is>
          <t>Forward</t>
        </is>
      </c>
      <c r="L152" s="7" t="n">
        <v>3225</v>
      </c>
      <c r="M152" s="6" t="inlineStr">
        <is>
          <t>lbs</t>
        </is>
      </c>
      <c r="N152" s="8" t="n">
        <v>4.1725</v>
      </c>
      <c r="O152" s="8" t="n">
        <v>4.1639</v>
      </c>
      <c r="P152" s="9" t="n">
        <v>13456.31</v>
      </c>
      <c r="Q152" s="6" t="inlineStr">
        <is>
          <t>Pending</t>
        </is>
      </c>
      <c r="R152" s="6">
        <f>IFERROR(DATEVALUE(C152)-DATEVALUE(B152),"N/A")</f>
        <v/>
      </c>
      <c r="S152" s="6">
        <f>IF(AND(N152&lt;&gt;"",O152&lt;&gt;""),IF(N152&gt;O152,"Above","At/Below"),"N/A")</f>
        <v/>
      </c>
    </row>
    <row r="153">
      <c r="A153" s="10" t="inlineStr">
        <is>
          <t>TRD-000152</t>
        </is>
      </c>
      <c r="B153" s="10" t="inlineStr">
        <is>
          <t>2024-01-31</t>
        </is>
      </c>
      <c r="C153" s="10" t="inlineStr">
        <is>
          <t>2024-02-02</t>
        </is>
      </c>
      <c r="D153" s="10" t="inlineStr">
        <is>
          <t>Aluminium</t>
        </is>
      </c>
      <c r="E153" s="10" t="inlineStr">
        <is>
          <t>AL</t>
        </is>
      </c>
      <c r="F153" s="10" t="inlineStr">
        <is>
          <t>Base Metals</t>
        </is>
      </c>
      <c r="G153" s="10" t="inlineStr">
        <is>
          <t>BM-CLIENT-01</t>
        </is>
      </c>
      <c r="H153" s="10" t="inlineStr">
        <is>
          <t>P. O'Brien</t>
        </is>
      </c>
      <c r="I153" s="10" t="inlineStr">
        <is>
          <t>Goldman Sachs</t>
        </is>
      </c>
      <c r="J153" s="10" t="inlineStr">
        <is>
          <t>Sell</t>
        </is>
      </c>
      <c r="K153" s="10" t="inlineStr">
        <is>
          <t>Forward</t>
        </is>
      </c>
      <c r="L153" s="11" t="n">
        <v>4125</v>
      </c>
      <c r="M153" s="10" t="inlineStr">
        <is>
          <t>MT</t>
        </is>
      </c>
      <c r="N153" s="12" t="n">
        <v>2355.3073</v>
      </c>
      <c r="O153" s="12" t="n">
        <v>2347.3996</v>
      </c>
      <c r="P153" s="13" t="n">
        <v>9715642.609999999</v>
      </c>
      <c r="Q153" s="10" t="inlineStr">
        <is>
          <t>Pending</t>
        </is>
      </c>
      <c r="R153" s="10">
        <f>IFERROR(DATEVALUE(C153)-DATEVALUE(B153),"N/A")</f>
        <v/>
      </c>
      <c r="S153" s="10">
        <f>IF(AND(N153&lt;&gt;"",O153&lt;&gt;""),IF(N153&gt;O153,"Above","At/Below"),"N/A")</f>
        <v/>
      </c>
    </row>
    <row r="154">
      <c r="A154" s="6" t="inlineStr">
        <is>
          <t>TRD-000153</t>
        </is>
      </c>
      <c r="B154" s="6" t="inlineStr">
        <is>
          <t>2024-07-26</t>
        </is>
      </c>
      <c r="C154" s="6" t="inlineStr">
        <is>
          <t>2024-10-24</t>
        </is>
      </c>
      <c r="D154" s="6" t="inlineStr">
        <is>
          <t>Nickel</t>
        </is>
      </c>
      <c r="E154" s="6" t="inlineStr">
        <is>
          <t>NI</t>
        </is>
      </c>
      <c r="F154" s="6" t="inlineStr">
        <is>
          <t>Base Metals</t>
        </is>
      </c>
      <c r="G154" s="6" t="inlineStr">
        <is>
          <t>BM-CLIENT-01</t>
        </is>
      </c>
      <c r="H154" s="6" t="inlineStr">
        <is>
          <t>A. Dubois</t>
        </is>
      </c>
      <c r="I154" s="6" t="inlineStr">
        <is>
          <t>TD Securities</t>
        </is>
      </c>
      <c r="J154" s="6" t="inlineStr">
        <is>
          <t>Buy</t>
        </is>
      </c>
      <c r="K154" s="6" t="inlineStr">
        <is>
          <t>Option</t>
        </is>
      </c>
      <c r="L154" s="7" t="n">
        <v>3100</v>
      </c>
      <c r="M154" s="6" t="inlineStr">
        <is>
          <t>MT</t>
        </is>
      </c>
      <c r="N154" s="8" t="n">
        <v>18350.2827</v>
      </c>
      <c r="O154" s="8" t="n">
        <v>18299.1378</v>
      </c>
      <c r="P154" s="9" t="n">
        <v>56885876.37</v>
      </c>
      <c r="Q154" s="6" t="inlineStr">
        <is>
          <t>Confirmed</t>
        </is>
      </c>
      <c r="R154" s="6">
        <f>IFERROR(DATEVALUE(C154)-DATEVALUE(B154),"N/A")</f>
        <v/>
      </c>
      <c r="S154" s="6">
        <f>IF(AND(N154&lt;&gt;"",O154&lt;&gt;""),IF(N154&gt;O154,"Above","At/Below"),"N/A")</f>
        <v/>
      </c>
    </row>
    <row r="155">
      <c r="A155" s="10" t="inlineStr">
        <is>
          <t>TRD-000154</t>
        </is>
      </c>
      <c r="B155" s="10" t="inlineStr">
        <is>
          <t>2024-11-12</t>
        </is>
      </c>
      <c r="C155" s="10" t="inlineStr">
        <is>
          <t>2024-11-17</t>
        </is>
      </c>
      <c r="D155" s="10" t="inlineStr">
        <is>
          <t>Gold</t>
        </is>
      </c>
      <c r="E155" s="10" t="inlineStr">
        <is>
          <t>XAU</t>
        </is>
      </c>
      <c r="F155" s="10" t="inlineStr">
        <is>
          <t>Precious Metals</t>
        </is>
      </c>
      <c r="G155" s="10" t="inlineStr">
        <is>
          <t>PM-PROP-01</t>
        </is>
      </c>
      <c r="H155" s="10" t="inlineStr">
        <is>
          <t>R. Nakamura</t>
        </is>
      </c>
      <c r="I155" s="10" t="inlineStr">
        <is>
          <t>BNP Paribas</t>
        </is>
      </c>
      <c r="J155" s="10" t="inlineStr">
        <is>
          <t>Sell</t>
        </is>
      </c>
      <c r="K155" s="10" t="inlineStr">
        <is>
          <t>Forward</t>
        </is>
      </c>
      <c r="L155" s="11" t="n">
        <v>10500</v>
      </c>
      <c r="M155" s="10" t="inlineStr">
        <is>
          <t>troy oz</t>
        </is>
      </c>
      <c r="N155" s="12" t="n">
        <v>2346.7403</v>
      </c>
      <c r="O155" s="12" t="n">
        <v>2346.299</v>
      </c>
      <c r="P155" s="13" t="n">
        <v>24640773.15</v>
      </c>
      <c r="Q155" s="10" t="inlineStr">
        <is>
          <t>Cancelled</t>
        </is>
      </c>
      <c r="R155" s="10">
        <f>IFERROR(DATEVALUE(C155)-DATEVALUE(B155),"N/A")</f>
        <v/>
      </c>
      <c r="S155" s="10">
        <f>IF(AND(N155&lt;&gt;"",O155&lt;&gt;""),IF(N155&gt;O155,"Above","At/Below"),"N/A")</f>
        <v/>
      </c>
    </row>
    <row r="156">
      <c r="A156" s="6" t="inlineStr">
        <is>
          <t>TRD-000155</t>
        </is>
      </c>
      <c r="B156" s="6" t="inlineStr">
        <is>
          <t>2024-04-03</t>
        </is>
      </c>
      <c r="C156" s="6" t="inlineStr">
        <is>
          <t>2024-04-05</t>
        </is>
      </c>
      <c r="D156" s="6" t="inlineStr">
        <is>
          <t>Aluminium</t>
        </is>
      </c>
      <c r="E156" s="6" t="inlineStr">
        <is>
          <t>AL</t>
        </is>
      </c>
      <c r="F156" s="6" t="inlineStr">
        <is>
          <t>Base Metals</t>
        </is>
      </c>
      <c r="G156" s="6" t="inlineStr">
        <is>
          <t>BM-HEDGE-01</t>
        </is>
      </c>
      <c r="H156" s="6" t="inlineStr">
        <is>
          <t>T. Vasquez</t>
        </is>
      </c>
      <c r="I156" s="6" t="inlineStr">
        <is>
          <t>Citibank NA</t>
        </is>
      </c>
      <c r="J156" s="6" t="inlineStr">
        <is>
          <t>Sell</t>
        </is>
      </c>
      <c r="K156" s="6" t="inlineStr">
        <is>
          <t>Spot</t>
        </is>
      </c>
      <c r="L156" s="7" t="n">
        <v>700</v>
      </c>
      <c r="M156" s="6" t="inlineStr">
        <is>
          <t>MT</t>
        </is>
      </c>
      <c r="N156" s="8" t="n">
        <v>2450.8672</v>
      </c>
      <c r="O156" s="8" t="n">
        <v>2453.6701</v>
      </c>
      <c r="P156" s="9" t="n">
        <v>1715607.04</v>
      </c>
      <c r="Q156" s="6" t="inlineStr">
        <is>
          <t>Confirmed</t>
        </is>
      </c>
      <c r="R156" s="6">
        <f>IFERROR(DATEVALUE(C156)-DATEVALUE(B156),"N/A")</f>
        <v/>
      </c>
      <c r="S156" s="6">
        <f>IF(AND(N156&lt;&gt;"",O156&lt;&gt;""),IF(N156&gt;O156,"Above","At/Below"),"N/A")</f>
        <v/>
      </c>
    </row>
    <row r="157">
      <c r="A157" s="10" t="inlineStr">
        <is>
          <t>TRD-000156</t>
        </is>
      </c>
      <c r="B157" s="10" t="inlineStr">
        <is>
          <t>2024-10-02</t>
        </is>
      </c>
      <c r="C157" s="10" t="inlineStr">
        <is>
          <t>2024-11-01</t>
        </is>
      </c>
      <c r="D157" s="10" t="inlineStr">
        <is>
          <t>Gold</t>
        </is>
      </c>
      <c r="E157" s="10" t="inlineStr">
        <is>
          <t>XAU</t>
        </is>
      </c>
      <c r="F157" s="10" t="inlineStr">
        <is>
          <t>Precious Metals</t>
        </is>
      </c>
      <c r="G157" s="10" t="inlineStr">
        <is>
          <t>PM-HEDGE-01</t>
        </is>
      </c>
      <c r="H157" s="10" t="inlineStr">
        <is>
          <t>R. Nakamura</t>
        </is>
      </c>
      <c r="I157" s="10" t="inlineStr">
        <is>
          <t>Citibank NA</t>
        </is>
      </c>
      <c r="J157" s="10" t="inlineStr">
        <is>
          <t>Buy</t>
        </is>
      </c>
      <c r="K157" s="10" t="inlineStr">
        <is>
          <t>Option</t>
        </is>
      </c>
      <c r="L157" s="11" t="n">
        <v>49300</v>
      </c>
      <c r="M157" s="10" t="inlineStr">
        <is>
          <t>troy oz</t>
        </is>
      </c>
      <c r="N157" s="12" t="n">
        <v>2341.3346</v>
      </c>
      <c r="O157" s="12" t="n">
        <v>2330.7617</v>
      </c>
      <c r="P157" s="13" t="n">
        <v>115427795.78</v>
      </c>
      <c r="Q157" s="10" t="inlineStr">
        <is>
          <t>Settled</t>
        </is>
      </c>
      <c r="R157" s="10">
        <f>IFERROR(DATEVALUE(C157)-DATEVALUE(B157),"N/A")</f>
        <v/>
      </c>
      <c r="S157" s="10">
        <f>IF(AND(N157&lt;&gt;"",O157&lt;&gt;""),IF(N157&gt;O157,"Above","At/Below"),"N/A")</f>
        <v/>
      </c>
    </row>
    <row r="158">
      <c r="A158" s="6" t="inlineStr">
        <is>
          <t>TRD-000157</t>
        </is>
      </c>
      <c r="B158" s="6" t="inlineStr">
        <is>
          <t>2024-12-02</t>
        </is>
      </c>
      <c r="C158" s="6" t="inlineStr">
        <is>
          <t>2024-12-07</t>
        </is>
      </c>
      <c r="D158" s="6" t="inlineStr">
        <is>
          <t>Nickel</t>
        </is>
      </c>
      <c r="E158" s="6" t="inlineStr">
        <is>
          <t>NI</t>
        </is>
      </c>
      <c r="F158" s="6" t="inlineStr">
        <is>
          <t>Base Metals</t>
        </is>
      </c>
      <c r="G158" s="6" t="inlineStr">
        <is>
          <t>BM-CLIENT-01</t>
        </is>
      </c>
      <c r="H158" s="6" t="inlineStr">
        <is>
          <t>T. Vasquez</t>
        </is>
      </c>
      <c r="I158" s="6" t="inlineStr">
        <is>
          <t>Citibank NA</t>
        </is>
      </c>
      <c r="J158" s="6" t="inlineStr">
        <is>
          <t>Buy</t>
        </is>
      </c>
      <c r="K158" s="6" t="inlineStr">
        <is>
          <t>Spot</t>
        </is>
      </c>
      <c r="L158" s="7" t="n">
        <v>3200</v>
      </c>
      <c r="M158" s="6" t="inlineStr">
        <is>
          <t>MT</t>
        </is>
      </c>
      <c r="N158" s="8" t="n">
        <v>18177.0539</v>
      </c>
      <c r="O158" s="8" t="n">
        <v>18163.3824</v>
      </c>
      <c r="P158" s="9" t="n">
        <v>58166572.48</v>
      </c>
      <c r="Q158" s="6" t="inlineStr">
        <is>
          <t>Confirmed</t>
        </is>
      </c>
      <c r="R158" s="6">
        <f>IFERROR(DATEVALUE(C158)-DATEVALUE(B158),"N/A")</f>
        <v/>
      </c>
      <c r="S158" s="6">
        <f>IF(AND(N158&lt;&gt;"",O158&lt;&gt;""),IF(N158&gt;O158,"Above","At/Below"),"N/A")</f>
        <v/>
      </c>
    </row>
    <row r="159">
      <c r="A159" s="10" t="inlineStr">
        <is>
          <t>TRD-000158</t>
        </is>
      </c>
      <c r="B159" s="10" t="inlineStr">
        <is>
          <t>2024-02-06</t>
        </is>
      </c>
      <c r="C159" s="10" t="inlineStr">
        <is>
          <t>2024-02-08</t>
        </is>
      </c>
      <c r="D159" s="10" t="inlineStr">
        <is>
          <t>Aluminium</t>
        </is>
      </c>
      <c r="E159" s="10" t="inlineStr">
        <is>
          <t>AL</t>
        </is>
      </c>
      <c r="F159" s="10" t="inlineStr">
        <is>
          <t>Base Metals</t>
        </is>
      </c>
      <c r="G159" s="10" t="inlineStr">
        <is>
          <t>BM-PROP-01</t>
        </is>
      </c>
      <c r="H159" s="10" t="inlineStr">
        <is>
          <t>M. Patel</t>
        </is>
      </c>
      <c r="I159" s="10" t="inlineStr">
        <is>
          <t>Deutsche Bank</t>
        </is>
      </c>
      <c r="J159" s="10" t="inlineStr">
        <is>
          <t>Sell</t>
        </is>
      </c>
      <c r="K159" s="10" t="inlineStr">
        <is>
          <t>Spot</t>
        </is>
      </c>
      <c r="L159" s="11" t="n">
        <v>4200</v>
      </c>
      <c r="M159" s="10" t="inlineStr">
        <is>
          <t>MT</t>
        </is>
      </c>
      <c r="N159" s="12" t="n">
        <v>2443.9918</v>
      </c>
      <c r="O159" s="12" t="n">
        <v>2448.7491</v>
      </c>
      <c r="P159" s="13" t="n">
        <v>10264765.56</v>
      </c>
      <c r="Q159" s="10" t="inlineStr">
        <is>
          <t>Confirmed</t>
        </is>
      </c>
      <c r="R159" s="10">
        <f>IFERROR(DATEVALUE(C159)-DATEVALUE(B159),"N/A")</f>
        <v/>
      </c>
      <c r="S159" s="10">
        <f>IF(AND(N159&lt;&gt;"",O159&lt;&gt;""),IF(N159&gt;O159,"Above","At/Below"),"N/A")</f>
        <v/>
      </c>
    </row>
    <row r="160">
      <c r="A160" s="6" t="inlineStr">
        <is>
          <t>TRD-000159</t>
        </is>
      </c>
      <c r="B160" s="6" t="inlineStr">
        <is>
          <t>2024-09-19</t>
        </is>
      </c>
      <c r="C160" s="6" t="inlineStr">
        <is>
          <t>2024-09-24</t>
        </is>
      </c>
      <c r="D160" s="6" t="inlineStr">
        <is>
          <t>Copper</t>
        </is>
      </c>
      <c r="E160" s="6" t="inlineStr">
        <is>
          <t>HG</t>
        </is>
      </c>
      <c r="F160" s="6" t="inlineStr">
        <is>
          <t>Base Metals</t>
        </is>
      </c>
      <c r="G160" s="6" t="inlineStr">
        <is>
          <t>BM-CLIENT-01</t>
        </is>
      </c>
      <c r="H160" s="6" t="inlineStr">
        <is>
          <t>A. Dubois</t>
        </is>
      </c>
      <c r="I160" s="6" t="inlineStr">
        <is>
          <t>HSBC Metals</t>
        </is>
      </c>
      <c r="J160" s="6" t="inlineStr">
        <is>
          <t>Buy</t>
        </is>
      </c>
      <c r="K160" s="6" t="inlineStr">
        <is>
          <t>Forward</t>
        </is>
      </c>
      <c r="L160" s="7" t="n">
        <v>2575</v>
      </c>
      <c r="M160" s="6" t="inlineStr">
        <is>
          <t>lbs</t>
        </is>
      </c>
      <c r="N160" s="8" t="n">
        <v>4.0918</v>
      </c>
      <c r="O160" s="8" t="n">
        <v>4.0944</v>
      </c>
      <c r="P160" s="9" t="n">
        <v>10536.39</v>
      </c>
      <c r="Q160" s="6" t="inlineStr">
        <is>
          <t>Confirmed</t>
        </is>
      </c>
      <c r="R160" s="6">
        <f>IFERROR(DATEVALUE(C160)-DATEVALUE(B160),"N/A")</f>
        <v/>
      </c>
      <c r="S160" s="6">
        <f>IF(AND(N160&lt;&gt;"",O160&lt;&gt;""),IF(N160&gt;O160,"Above","At/Below"),"N/A")</f>
        <v/>
      </c>
    </row>
    <row r="161">
      <c r="A161" s="10" t="inlineStr">
        <is>
          <t>TRD-000160</t>
        </is>
      </c>
      <c r="B161" s="10" t="inlineStr">
        <is>
          <t>2024-07-19</t>
        </is>
      </c>
      <c r="C161" s="10" t="inlineStr">
        <is>
          <t>2024-08-18</t>
        </is>
      </c>
      <c r="D161" s="10" t="inlineStr">
        <is>
          <t>Nickel</t>
        </is>
      </c>
      <c r="E161" s="10" t="inlineStr">
        <is>
          <t>NI</t>
        </is>
      </c>
      <c r="F161" s="10" t="inlineStr">
        <is>
          <t>Base Metals</t>
        </is>
      </c>
      <c r="G161" s="10" t="inlineStr">
        <is>
          <t>BM-CLIENT-01</t>
        </is>
      </c>
      <c r="H161" s="10" t="inlineStr">
        <is>
          <t>R. Nakamura</t>
        </is>
      </c>
      <c r="I161" s="10" t="inlineStr">
        <is>
          <t>Barclays Metals</t>
        </is>
      </c>
      <c r="J161" s="10" t="inlineStr">
        <is>
          <t>Buy</t>
        </is>
      </c>
      <c r="K161" s="10" t="inlineStr">
        <is>
          <t>Swap</t>
        </is>
      </c>
      <c r="L161" s="11" t="n">
        <v>775</v>
      </c>
      <c r="M161" s="10" t="inlineStr">
        <is>
          <t>MT</t>
        </is>
      </c>
      <c r="N161" s="12" t="n">
        <v>17829.1899</v>
      </c>
      <c r="O161" s="12" t="n">
        <v>17815.6976</v>
      </c>
      <c r="P161" s="13" t="n">
        <v>13817622.17</v>
      </c>
      <c r="Q161" s="10" t="inlineStr">
        <is>
          <t>Settled</t>
        </is>
      </c>
      <c r="R161" s="10">
        <f>IFERROR(DATEVALUE(C161)-DATEVALUE(B161),"N/A")</f>
        <v/>
      </c>
      <c r="S161" s="10">
        <f>IF(AND(N161&lt;&gt;"",O161&lt;&gt;""),IF(N161&gt;O161,"Above","At/Below"),"N/A")</f>
        <v/>
      </c>
    </row>
    <row r="162">
      <c r="A162" s="6" t="inlineStr">
        <is>
          <t>TRD-000161</t>
        </is>
      </c>
      <c r="B162" s="6" t="inlineStr">
        <is>
          <t>2024-12-31</t>
        </is>
      </c>
      <c r="C162" s="6" t="inlineStr">
        <is>
          <t>2025-01-05</t>
        </is>
      </c>
      <c r="D162" s="6" t="inlineStr">
        <is>
          <t>Platinum</t>
        </is>
      </c>
      <c r="E162" s="6" t="inlineStr">
        <is>
          <t>XPT</t>
        </is>
      </c>
      <c r="F162" s="6" t="inlineStr">
        <is>
          <t>Precious Metals</t>
        </is>
      </c>
      <c r="G162" s="6" t="inlineStr">
        <is>
          <t>PM-PROP-01</t>
        </is>
      </c>
      <c r="H162" s="6" t="inlineStr">
        <is>
          <t>T. Vasquez</t>
        </is>
      </c>
      <c r="I162" s="6" t="inlineStr">
        <is>
          <t>Barclays Metals</t>
        </is>
      </c>
      <c r="J162" s="6" t="inlineStr">
        <is>
          <t>Buy</t>
        </is>
      </c>
      <c r="K162" s="6" t="inlineStr">
        <is>
          <t>Spot</t>
        </is>
      </c>
      <c r="L162" s="7" t="n">
        <v>2400</v>
      </c>
      <c r="M162" s="6" t="inlineStr">
        <is>
          <t>troy oz</t>
        </is>
      </c>
      <c r="N162" s="8" t="n">
        <v>980.3323</v>
      </c>
      <c r="O162" s="8" t="n">
        <v>980.0076</v>
      </c>
      <c r="P162" s="9" t="n">
        <v>2352797.52</v>
      </c>
      <c r="Q162" s="6" t="inlineStr">
        <is>
          <t>Confirmed</t>
        </is>
      </c>
      <c r="R162" s="6">
        <f>IFERROR(DATEVALUE(C162)-DATEVALUE(B162),"N/A")</f>
        <v/>
      </c>
      <c r="S162" s="6">
        <f>IF(AND(N162&lt;&gt;"",O162&lt;&gt;""),IF(N162&gt;O162,"Above","At/Below"),"N/A")</f>
        <v/>
      </c>
    </row>
    <row r="163">
      <c r="A163" s="10" t="inlineStr">
        <is>
          <t>TRD-000162</t>
        </is>
      </c>
      <c r="B163" s="10" t="inlineStr">
        <is>
          <t>2024-08-16</t>
        </is>
      </c>
      <c r="C163" s="10" t="inlineStr">
        <is>
          <t>2024-08-18</t>
        </is>
      </c>
      <c r="D163" s="10" t="inlineStr">
        <is>
          <t>Platinum</t>
        </is>
      </c>
      <c r="E163" s="10" t="inlineStr">
        <is>
          <t>XPT</t>
        </is>
      </c>
      <c r="F163" s="10" t="inlineStr">
        <is>
          <t>Precious Metals</t>
        </is>
      </c>
      <c r="G163" s="10" t="inlineStr">
        <is>
          <t>PM-HEDGE-01</t>
        </is>
      </c>
      <c r="H163" s="10" t="inlineStr">
        <is>
          <t>T. Vasquez</t>
        </is>
      </c>
      <c r="I163" s="10" t="inlineStr">
        <is>
          <t>BNP Paribas</t>
        </is>
      </c>
      <c r="J163" s="10" t="inlineStr">
        <is>
          <t>Sell</t>
        </is>
      </c>
      <c r="K163" s="10" t="inlineStr">
        <is>
          <t>Forward</t>
        </is>
      </c>
      <c r="L163" s="11" t="n">
        <v>31600</v>
      </c>
      <c r="M163" s="10" t="inlineStr">
        <is>
          <t>troy oz</t>
        </is>
      </c>
      <c r="N163" s="12" t="n">
        <v>971.0134</v>
      </c>
      <c r="O163" s="12" t="n">
        <v>969.5095</v>
      </c>
      <c r="P163" s="13" t="n">
        <v>30684023.44</v>
      </c>
      <c r="Q163" s="10" t="inlineStr">
        <is>
          <t>Confirmed</t>
        </is>
      </c>
      <c r="R163" s="10">
        <f>IFERROR(DATEVALUE(C163)-DATEVALUE(B163),"N/A")</f>
        <v/>
      </c>
      <c r="S163" s="10">
        <f>IF(AND(N163&lt;&gt;"",O163&lt;&gt;""),IF(N163&gt;O163,"Above","At/Below"),"N/A")</f>
        <v/>
      </c>
    </row>
    <row r="164">
      <c r="A164" s="6" t="inlineStr">
        <is>
          <t>TRD-000163</t>
        </is>
      </c>
      <c r="B164" s="6" t="inlineStr">
        <is>
          <t>2024-09-20</t>
        </is>
      </c>
      <c r="C164" s="6" t="inlineStr">
        <is>
          <t>2024-09-22</t>
        </is>
      </c>
      <c r="D164" s="6" t="inlineStr">
        <is>
          <t>Nickel</t>
        </is>
      </c>
      <c r="E164" s="6" t="inlineStr">
        <is>
          <t>NI</t>
        </is>
      </c>
      <c r="F164" s="6" t="inlineStr">
        <is>
          <t>Base Metals</t>
        </is>
      </c>
      <c r="G164" s="6" t="inlineStr">
        <is>
          <t>BM-PROP-01</t>
        </is>
      </c>
      <c r="H164" s="6" t="inlineStr">
        <is>
          <t>J. Kowalski</t>
        </is>
      </c>
      <c r="I164" s="6" t="inlineStr">
        <is>
          <t>Goldman Sachs</t>
        </is>
      </c>
      <c r="J164" s="6" t="inlineStr">
        <is>
          <t>Sell</t>
        </is>
      </c>
      <c r="K164" s="6" t="inlineStr">
        <is>
          <t>Forward</t>
        </is>
      </c>
      <c r="L164" s="7" t="n">
        <v>2675</v>
      </c>
      <c r="M164" s="6" t="inlineStr">
        <is>
          <t>MT</t>
        </is>
      </c>
      <c r="N164" s="8" t="n">
        <v>17858.9494</v>
      </c>
      <c r="O164" s="8" t="n">
        <v>17804.1612</v>
      </c>
      <c r="P164" s="9" t="n">
        <v>47772689.65</v>
      </c>
      <c r="Q164" s="6" t="inlineStr">
        <is>
          <t>Confirmed</t>
        </is>
      </c>
      <c r="R164" s="6">
        <f>IFERROR(DATEVALUE(C164)-DATEVALUE(B164),"N/A")</f>
        <v/>
      </c>
      <c r="S164" s="6">
        <f>IF(AND(N164&lt;&gt;"",O164&lt;&gt;""),IF(N164&gt;O164,"Above","At/Below"),"N/A")</f>
        <v/>
      </c>
    </row>
    <row r="165">
      <c r="A165" s="10" t="inlineStr">
        <is>
          <t>TRD-000164</t>
        </is>
      </c>
      <c r="B165" s="10" t="inlineStr">
        <is>
          <t>2024-02-07</t>
        </is>
      </c>
      <c r="C165" s="10" t="inlineStr">
        <is>
          <t>2024-03-08</t>
        </is>
      </c>
      <c r="D165" s="10" t="inlineStr">
        <is>
          <t>Palladium</t>
        </is>
      </c>
      <c r="E165" s="10" t="inlineStr">
        <is>
          <t>XPD</t>
        </is>
      </c>
      <c r="F165" s="10" t="inlineStr">
        <is>
          <t>Precious Metals</t>
        </is>
      </c>
      <c r="G165" s="10" t="inlineStr">
        <is>
          <t>PM-CLIENT-01</t>
        </is>
      </c>
      <c r="H165" s="10" t="inlineStr">
        <is>
          <t>J. Kowalski</t>
        </is>
      </c>
      <c r="I165" s="10" t="inlineStr">
        <is>
          <t>Goldman Sachs</t>
        </is>
      </c>
      <c r="J165" s="10" t="inlineStr">
        <is>
          <t>Sell</t>
        </is>
      </c>
      <c r="K165" s="10" t="inlineStr">
        <is>
          <t>Spot</t>
        </is>
      </c>
      <c r="L165" s="11" t="n">
        <v>26900</v>
      </c>
      <c r="M165" s="10" t="inlineStr">
        <is>
          <t>troy oz</t>
        </is>
      </c>
      <c r="N165" s="12" t="n">
        <v>1050.8448</v>
      </c>
      <c r="O165" s="12" t="n">
        <v>1047.9471</v>
      </c>
      <c r="P165" s="13" t="n">
        <v>28267725.12</v>
      </c>
      <c r="Q165" s="10" t="inlineStr">
        <is>
          <t>Settled</t>
        </is>
      </c>
      <c r="R165" s="10">
        <f>IFERROR(DATEVALUE(C165)-DATEVALUE(B165),"N/A")</f>
        <v/>
      </c>
      <c r="S165" s="10">
        <f>IF(AND(N165&lt;&gt;"",O165&lt;&gt;""),IF(N165&gt;O165,"Above","At/Below"),"N/A")</f>
        <v/>
      </c>
    </row>
    <row r="166">
      <c r="A166" s="6" t="inlineStr">
        <is>
          <t>TRD-000165</t>
        </is>
      </c>
      <c r="B166" s="6" t="inlineStr">
        <is>
          <t>2024-01-15</t>
        </is>
      </c>
      <c r="C166" s="6" t="inlineStr">
        <is>
          <t>2024-01-20</t>
        </is>
      </c>
      <c r="D166" s="6" t="inlineStr">
        <is>
          <t>Silver</t>
        </is>
      </c>
      <c r="E166" s="6" t="inlineStr">
        <is>
          <t>XAG</t>
        </is>
      </c>
      <c r="F166" s="6" t="inlineStr">
        <is>
          <t>Precious Metals</t>
        </is>
      </c>
      <c r="G166" s="6" t="inlineStr">
        <is>
          <t>PM-PROP-01</t>
        </is>
      </c>
      <c r="H166" s="6" t="inlineStr">
        <is>
          <t>T. Vasquez</t>
        </is>
      </c>
      <c r="I166" s="6" t="inlineStr">
        <is>
          <t>BNP Paribas</t>
        </is>
      </c>
      <c r="J166" s="6" t="inlineStr">
        <is>
          <t>Sell</t>
        </is>
      </c>
      <c r="K166" s="6" t="inlineStr">
        <is>
          <t>Forward</t>
        </is>
      </c>
      <c r="L166" s="7" t="n">
        <v>7800</v>
      </c>
      <c r="M166" s="6" t="inlineStr">
        <is>
          <t>troy oz</t>
        </is>
      </c>
      <c r="N166" s="8" t="n">
        <v>27.9934</v>
      </c>
      <c r="O166" s="8" t="n">
        <v>27.969</v>
      </c>
      <c r="P166" s="9" t="n">
        <v>218348.52</v>
      </c>
      <c r="Q166" s="6" t="inlineStr">
        <is>
          <t>Pending</t>
        </is>
      </c>
      <c r="R166" s="6">
        <f>IFERROR(DATEVALUE(C166)-DATEVALUE(B166),"N/A")</f>
        <v/>
      </c>
      <c r="S166" s="6">
        <f>IF(AND(N166&lt;&gt;"",O166&lt;&gt;""),IF(N166&gt;O166,"Above","At/Below"),"N/A")</f>
        <v/>
      </c>
    </row>
    <row r="167">
      <c r="A167" s="10" t="inlineStr">
        <is>
          <t>TRD-000166</t>
        </is>
      </c>
      <c r="B167" s="10" t="inlineStr">
        <is>
          <t>2024-05-29</t>
        </is>
      </c>
      <c r="C167" s="10" t="inlineStr">
        <is>
          <t>2024-06-28</t>
        </is>
      </c>
      <c r="D167" s="10" t="inlineStr">
        <is>
          <t>Platinum</t>
        </is>
      </c>
      <c r="E167" s="10" t="inlineStr">
        <is>
          <t>XPT</t>
        </is>
      </c>
      <c r="F167" s="10" t="inlineStr">
        <is>
          <t>Precious Metals</t>
        </is>
      </c>
      <c r="G167" s="10" t="inlineStr">
        <is>
          <t>PM-CLIENT-01</t>
        </is>
      </c>
      <c r="H167" s="10" t="inlineStr">
        <is>
          <t>S. Okonkwo</t>
        </is>
      </c>
      <c r="I167" s="10" t="inlineStr">
        <is>
          <t>TD Securities</t>
        </is>
      </c>
      <c r="J167" s="10" t="inlineStr">
        <is>
          <t>Sell</t>
        </is>
      </c>
      <c r="K167" s="10" t="inlineStr">
        <is>
          <t>Forward</t>
        </is>
      </c>
      <c r="L167" s="11" t="n">
        <v>34000</v>
      </c>
      <c r="M167" s="10" t="inlineStr">
        <is>
          <t>troy oz</t>
        </is>
      </c>
      <c r="N167" s="12" t="n">
        <v>963.0439</v>
      </c>
      <c r="O167" s="12" t="n">
        <v>962.8549</v>
      </c>
      <c r="P167" s="13" t="n">
        <v>32743492.6</v>
      </c>
      <c r="Q167" s="10" t="inlineStr">
        <is>
          <t>Settled</t>
        </is>
      </c>
      <c r="R167" s="10">
        <f>IFERROR(DATEVALUE(C167)-DATEVALUE(B167),"N/A")</f>
        <v/>
      </c>
      <c r="S167" s="10">
        <f>IF(AND(N167&lt;&gt;"",O167&lt;&gt;""),IF(N167&gt;O167,"Above","At/Below"),"N/A")</f>
        <v/>
      </c>
    </row>
    <row r="168">
      <c r="A168" s="6" t="inlineStr">
        <is>
          <t>TRD-000167</t>
        </is>
      </c>
      <c r="B168" s="6" t="inlineStr">
        <is>
          <t>2024-09-11</t>
        </is>
      </c>
      <c r="C168" s="6" t="inlineStr">
        <is>
          <t>2024-12-10</t>
        </is>
      </c>
      <c r="D168" s="6" t="inlineStr">
        <is>
          <t>Aluminium</t>
        </is>
      </c>
      <c r="E168" s="6" t="inlineStr">
        <is>
          <t>AL</t>
        </is>
      </c>
      <c r="F168" s="6" t="inlineStr">
        <is>
          <t>Base Metals</t>
        </is>
      </c>
      <c r="G168" s="6" t="inlineStr">
        <is>
          <t>BM-CLIENT-01</t>
        </is>
      </c>
      <c r="H168" s="6" t="inlineStr">
        <is>
          <t>L. Chen</t>
        </is>
      </c>
      <c r="I168" s="6" t="inlineStr">
        <is>
          <t>JPMorgan Commodities</t>
        </is>
      </c>
      <c r="J168" s="6" t="inlineStr">
        <is>
          <t>Sell</t>
        </is>
      </c>
      <c r="K168" s="6" t="inlineStr">
        <is>
          <t>Forward</t>
        </is>
      </c>
      <c r="L168" s="7" t="n">
        <v>4625</v>
      </c>
      <c r="M168" s="6" t="inlineStr">
        <is>
          <t>MT</t>
        </is>
      </c>
      <c r="N168" s="8" t="n">
        <v>2514.9912</v>
      </c>
      <c r="O168" s="8" t="n">
        <v>2516.6375</v>
      </c>
      <c r="P168" s="9" t="n">
        <v>11631834.3</v>
      </c>
      <c r="Q168" s="6" t="inlineStr">
        <is>
          <t>Confirmed</t>
        </is>
      </c>
      <c r="R168" s="6">
        <f>IFERROR(DATEVALUE(C168)-DATEVALUE(B168),"N/A")</f>
        <v/>
      </c>
      <c r="S168" s="6">
        <f>IF(AND(N168&lt;&gt;"",O168&lt;&gt;""),IF(N168&gt;O168,"Above","At/Below"),"N/A")</f>
        <v/>
      </c>
    </row>
    <row r="169">
      <c r="A169" s="10" t="inlineStr">
        <is>
          <t>TRD-000168</t>
        </is>
      </c>
      <c r="B169" s="10" t="inlineStr">
        <is>
          <t>2024-07-25</t>
        </is>
      </c>
      <c r="C169" s="10" t="inlineStr">
        <is>
          <t>2024-10-23</t>
        </is>
      </c>
      <c r="D169" s="10" t="inlineStr">
        <is>
          <t>Palladium</t>
        </is>
      </c>
      <c r="E169" s="10" t="inlineStr">
        <is>
          <t>XPD</t>
        </is>
      </c>
      <c r="F169" s="10" t="inlineStr">
        <is>
          <t>Precious Metals</t>
        </is>
      </c>
      <c r="G169" s="10" t="inlineStr">
        <is>
          <t>PM-HEDGE-01</t>
        </is>
      </c>
      <c r="H169" s="10" t="inlineStr">
        <is>
          <t>A. Dubois</t>
        </is>
      </c>
      <c r="I169" s="10" t="inlineStr">
        <is>
          <t>JPMorgan Commodities</t>
        </is>
      </c>
      <c r="J169" s="10" t="inlineStr">
        <is>
          <t>Sell</t>
        </is>
      </c>
      <c r="K169" s="10" t="inlineStr">
        <is>
          <t>Spot</t>
        </is>
      </c>
      <c r="L169" s="11" t="n">
        <v>36100</v>
      </c>
      <c r="M169" s="10" t="inlineStr">
        <is>
          <t>troy oz</t>
        </is>
      </c>
      <c r="N169" s="12" t="n">
        <v>1019.7143</v>
      </c>
      <c r="O169" s="12" t="n">
        <v>1019.2642</v>
      </c>
      <c r="P169" s="13" t="n">
        <v>36811686.23</v>
      </c>
      <c r="Q169" s="10" t="inlineStr">
        <is>
          <t>Confirmed</t>
        </is>
      </c>
      <c r="R169" s="10">
        <f>IFERROR(DATEVALUE(C169)-DATEVALUE(B169),"N/A")</f>
        <v/>
      </c>
      <c r="S169" s="10">
        <f>IF(AND(N169&lt;&gt;"",O169&lt;&gt;""),IF(N169&gt;O169,"Above","At/Below"),"N/A")</f>
        <v/>
      </c>
    </row>
    <row r="170">
      <c r="A170" s="6" t="inlineStr">
        <is>
          <t>TRD-000169</t>
        </is>
      </c>
      <c r="B170" s="6" t="inlineStr">
        <is>
          <t>2024-09-04</t>
        </is>
      </c>
      <c r="C170" s="6" t="inlineStr">
        <is>
          <t>2024-09-06</t>
        </is>
      </c>
      <c r="D170" s="6" t="inlineStr">
        <is>
          <t>Zinc</t>
        </is>
      </c>
      <c r="E170" s="6" t="inlineStr">
        <is>
          <t>ZN</t>
        </is>
      </c>
      <c r="F170" s="6" t="inlineStr">
        <is>
          <t>Base Metals</t>
        </is>
      </c>
      <c r="G170" s="6" t="inlineStr">
        <is>
          <t>BM-HEDGE-01</t>
        </is>
      </c>
      <c r="H170" s="6" t="inlineStr">
        <is>
          <t>A. Dubois</t>
        </is>
      </c>
      <c r="I170" s="6" t="inlineStr">
        <is>
          <t>BNP Paribas</t>
        </is>
      </c>
      <c r="J170" s="6" t="inlineStr">
        <is>
          <t>Buy</t>
        </is>
      </c>
      <c r="K170" s="6" t="inlineStr">
        <is>
          <t>Spot</t>
        </is>
      </c>
      <c r="L170" s="7" t="n">
        <v>1850</v>
      </c>
      <c r="M170" s="6" t="inlineStr">
        <is>
          <t>MT</t>
        </is>
      </c>
      <c r="N170" s="8" t="n">
        <v>2744.3329</v>
      </c>
      <c r="O170" s="8" t="n">
        <v>2741.3267</v>
      </c>
      <c r="P170" s="9" t="n">
        <v>5077015.87</v>
      </c>
      <c r="Q170" s="6" t="inlineStr">
        <is>
          <t>Confirmed</t>
        </is>
      </c>
      <c r="R170" s="6">
        <f>IFERROR(DATEVALUE(C170)-DATEVALUE(B170),"N/A")</f>
        <v/>
      </c>
      <c r="S170" s="6">
        <f>IF(AND(N170&lt;&gt;"",O170&lt;&gt;""),IF(N170&gt;O170,"Above","At/Below"),"N/A")</f>
        <v/>
      </c>
    </row>
    <row r="171">
      <c r="A171" s="10" t="inlineStr">
        <is>
          <t>TRD-000170</t>
        </is>
      </c>
      <c r="B171" s="10" t="inlineStr">
        <is>
          <t>2024-07-12</t>
        </is>
      </c>
      <c r="C171" s="10" t="inlineStr">
        <is>
          <t>2024-08-11</t>
        </is>
      </c>
      <c r="D171" s="10" t="inlineStr">
        <is>
          <t>Palladium</t>
        </is>
      </c>
      <c r="E171" s="10" t="inlineStr">
        <is>
          <t>XPD</t>
        </is>
      </c>
      <c r="F171" s="10" t="inlineStr">
        <is>
          <t>Precious Metals</t>
        </is>
      </c>
      <c r="G171" s="10" t="inlineStr">
        <is>
          <t>PM-CLIENT-01</t>
        </is>
      </c>
      <c r="H171" s="10" t="inlineStr">
        <is>
          <t>L. Chen</t>
        </is>
      </c>
      <c r="I171" s="10" t="inlineStr">
        <is>
          <t>Scotiabank</t>
        </is>
      </c>
      <c r="J171" s="10" t="inlineStr">
        <is>
          <t>Buy</t>
        </is>
      </c>
      <c r="K171" s="10" t="inlineStr">
        <is>
          <t>Forward</t>
        </is>
      </c>
      <c r="L171" s="11" t="n">
        <v>7100</v>
      </c>
      <c r="M171" s="10" t="inlineStr">
        <is>
          <t>troy oz</t>
        </is>
      </c>
      <c r="N171" s="12" t="n">
        <v>1072.8546</v>
      </c>
      <c r="O171" s="12" t="n">
        <v>1070.598</v>
      </c>
      <c r="P171" s="13" t="n">
        <v>7617267.66</v>
      </c>
      <c r="Q171" s="10" t="inlineStr">
        <is>
          <t>Pending</t>
        </is>
      </c>
      <c r="R171" s="10">
        <f>IFERROR(DATEVALUE(C171)-DATEVALUE(B171),"N/A")</f>
        <v/>
      </c>
      <c r="S171" s="10">
        <f>IF(AND(N171&lt;&gt;"",O171&lt;&gt;""),IF(N171&gt;O171,"Above","At/Below"),"N/A")</f>
        <v/>
      </c>
    </row>
    <row r="172">
      <c r="A172" s="6" t="inlineStr">
        <is>
          <t>TRD-000171</t>
        </is>
      </c>
      <c r="B172" s="6" t="inlineStr">
        <is>
          <t>2024-06-17</t>
        </is>
      </c>
      <c r="C172" s="6" t="inlineStr">
        <is>
          <t>2024-06-19</t>
        </is>
      </c>
      <c r="D172" s="6" t="inlineStr">
        <is>
          <t>Palladium</t>
        </is>
      </c>
      <c r="E172" s="6" t="inlineStr">
        <is>
          <t>XPD</t>
        </is>
      </c>
      <c r="F172" s="6" t="inlineStr">
        <is>
          <t>Precious Metals</t>
        </is>
      </c>
      <c r="G172" s="6" t="inlineStr">
        <is>
          <t>PM-CLIENT-01</t>
        </is>
      </c>
      <c r="H172" s="6" t="inlineStr">
        <is>
          <t>J. Kowalski</t>
        </is>
      </c>
      <c r="I172" s="6" t="inlineStr">
        <is>
          <t>Barclays Metals</t>
        </is>
      </c>
      <c r="J172" s="6" t="inlineStr">
        <is>
          <t>Sell</t>
        </is>
      </c>
      <c r="K172" s="6" t="inlineStr">
        <is>
          <t>Spot</t>
        </is>
      </c>
      <c r="L172" s="7" t="n">
        <v>17000</v>
      </c>
      <c r="M172" s="6" t="inlineStr">
        <is>
          <t>troy oz</t>
        </is>
      </c>
      <c r="N172" s="8" t="n">
        <v>1011.4434</v>
      </c>
      <c r="O172" s="8" t="n">
        <v>1008.0208</v>
      </c>
      <c r="P172" s="9" t="n">
        <v>17194537.8</v>
      </c>
      <c r="Q172" s="6" t="inlineStr">
        <is>
          <t>Cancelled</t>
        </is>
      </c>
      <c r="R172" s="6">
        <f>IFERROR(DATEVALUE(C172)-DATEVALUE(B172),"N/A")</f>
        <v/>
      </c>
      <c r="S172" s="6">
        <f>IF(AND(N172&lt;&gt;"",O172&lt;&gt;""),IF(N172&gt;O172,"Above","At/Below"),"N/A")</f>
        <v/>
      </c>
    </row>
    <row r="173">
      <c r="A173" s="10" t="inlineStr">
        <is>
          <t>TRD-000172</t>
        </is>
      </c>
      <c r="B173" s="10" t="inlineStr">
        <is>
          <t>2024-12-06</t>
        </is>
      </c>
      <c r="C173" s="10" t="inlineStr">
        <is>
          <t>2024-12-11</t>
        </is>
      </c>
      <c r="D173" s="10" t="inlineStr">
        <is>
          <t>Platinum</t>
        </is>
      </c>
      <c r="E173" s="10" t="inlineStr">
        <is>
          <t>XPT</t>
        </is>
      </c>
      <c r="F173" s="10" t="inlineStr">
        <is>
          <t>Precious Metals</t>
        </is>
      </c>
      <c r="G173" s="10" t="inlineStr">
        <is>
          <t>PM-HEDGE-01</t>
        </is>
      </c>
      <c r="H173" s="10" t="inlineStr">
        <is>
          <t>M. Patel</t>
        </is>
      </c>
      <c r="I173" s="10" t="inlineStr">
        <is>
          <t>Morgan Stanley</t>
        </is>
      </c>
      <c r="J173" s="10" t="inlineStr">
        <is>
          <t>Sell</t>
        </is>
      </c>
      <c r="K173" s="10" t="inlineStr">
        <is>
          <t>Spot</t>
        </is>
      </c>
      <c r="L173" s="11" t="n">
        <v>38800</v>
      </c>
      <c r="M173" s="10" t="inlineStr">
        <is>
          <t>troy oz</t>
        </is>
      </c>
      <c r="N173" s="12" t="n">
        <v>997.2609</v>
      </c>
      <c r="O173" s="12" t="n">
        <v>994.7528</v>
      </c>
      <c r="P173" s="13" t="n">
        <v>38693722.92</v>
      </c>
      <c r="Q173" s="10" t="inlineStr">
        <is>
          <t>Confirmed</t>
        </is>
      </c>
      <c r="R173" s="10">
        <f>IFERROR(DATEVALUE(C173)-DATEVALUE(B173),"N/A")</f>
        <v/>
      </c>
      <c r="S173" s="10">
        <f>IF(AND(N173&lt;&gt;"",O173&lt;&gt;""),IF(N173&gt;O173,"Above","At/Below"),"N/A")</f>
        <v/>
      </c>
    </row>
    <row r="174">
      <c r="A174" s="6" t="inlineStr">
        <is>
          <t>TRD-000173</t>
        </is>
      </c>
      <c r="B174" s="6" t="inlineStr">
        <is>
          <t>2024-10-25</t>
        </is>
      </c>
      <c r="C174" s="6" t="inlineStr">
        <is>
          <t>2024-10-27</t>
        </is>
      </c>
      <c r="D174" s="6" t="inlineStr">
        <is>
          <t>Gold</t>
        </is>
      </c>
      <c r="E174" s="6" t="inlineStr">
        <is>
          <t>XAU</t>
        </is>
      </c>
      <c r="F174" s="6" t="inlineStr">
        <is>
          <t>Precious Metals</t>
        </is>
      </c>
      <c r="G174" s="6" t="inlineStr">
        <is>
          <t>PM-PROP-01</t>
        </is>
      </c>
      <c r="H174" s="6" t="inlineStr">
        <is>
          <t>A. Dubois</t>
        </is>
      </c>
      <c r="I174" s="6" t="inlineStr">
        <is>
          <t>Scotiabank</t>
        </is>
      </c>
      <c r="J174" s="6" t="inlineStr">
        <is>
          <t>Sell</t>
        </is>
      </c>
      <c r="K174" s="6" t="inlineStr">
        <is>
          <t>Forward</t>
        </is>
      </c>
      <c r="L174" s="7" t="n">
        <v>1900</v>
      </c>
      <c r="M174" s="6" t="inlineStr">
        <is>
          <t>troy oz</t>
        </is>
      </c>
      <c r="N174" s="8" t="n">
        <v>2450.2657</v>
      </c>
      <c r="O174" s="8" t="n">
        <v>2451.9718</v>
      </c>
      <c r="P174" s="9" t="n">
        <v>4655504.83</v>
      </c>
      <c r="Q174" s="6" t="inlineStr">
        <is>
          <t>Confirmed</t>
        </is>
      </c>
      <c r="R174" s="6">
        <f>IFERROR(DATEVALUE(C174)-DATEVALUE(B174),"N/A")</f>
        <v/>
      </c>
      <c r="S174" s="6">
        <f>IF(AND(N174&lt;&gt;"",O174&lt;&gt;""),IF(N174&gt;O174,"Above","At/Below"),"N/A")</f>
        <v/>
      </c>
    </row>
    <row r="175">
      <c r="A175" s="10" t="inlineStr">
        <is>
          <t>TRD-000174</t>
        </is>
      </c>
      <c r="B175" s="10" t="inlineStr">
        <is>
          <t>2024-07-23</t>
        </is>
      </c>
      <c r="C175" s="10" t="inlineStr">
        <is>
          <t>2024-07-28</t>
        </is>
      </c>
      <c r="D175" s="10" t="inlineStr">
        <is>
          <t>Silver</t>
        </is>
      </c>
      <c r="E175" s="10" t="inlineStr">
        <is>
          <t>XAG</t>
        </is>
      </c>
      <c r="F175" s="10" t="inlineStr">
        <is>
          <t>Precious Metals</t>
        </is>
      </c>
      <c r="G175" s="10" t="inlineStr">
        <is>
          <t>PM-HEDGE-01</t>
        </is>
      </c>
      <c r="H175" s="10" t="inlineStr">
        <is>
          <t>T. Vasquez</t>
        </is>
      </c>
      <c r="I175" s="10" t="inlineStr">
        <is>
          <t>JPMorgan Commodities</t>
        </is>
      </c>
      <c r="J175" s="10" t="inlineStr">
        <is>
          <t>Sell</t>
        </is>
      </c>
      <c r="K175" s="10" t="inlineStr">
        <is>
          <t>Option</t>
        </is>
      </c>
      <c r="L175" s="11" t="n">
        <v>27900</v>
      </c>
      <c r="M175" s="10" t="inlineStr">
        <is>
          <t>troy oz</t>
        </is>
      </c>
      <c r="N175" s="12" t="n">
        <v>29.8622</v>
      </c>
      <c r="O175" s="12" t="n">
        <v>29.8939</v>
      </c>
      <c r="P175" s="13" t="n">
        <v>833155.38</v>
      </c>
      <c r="Q175" s="10" t="inlineStr">
        <is>
          <t>Confirmed</t>
        </is>
      </c>
      <c r="R175" s="10">
        <f>IFERROR(DATEVALUE(C175)-DATEVALUE(B175),"N/A")</f>
        <v/>
      </c>
      <c r="S175" s="10">
        <f>IF(AND(N175&lt;&gt;"",O175&lt;&gt;""),IF(N175&gt;O175,"Above","At/Below"),"N/A")</f>
        <v/>
      </c>
    </row>
    <row r="176">
      <c r="A176" s="6" t="inlineStr">
        <is>
          <t>TRD-000175</t>
        </is>
      </c>
      <c r="B176" s="6" t="inlineStr">
        <is>
          <t>2024-04-26</t>
        </is>
      </c>
      <c r="C176" s="6" t="inlineStr">
        <is>
          <t>2024-07-25</t>
        </is>
      </c>
      <c r="D176" s="6" t="inlineStr">
        <is>
          <t>Silver</t>
        </is>
      </c>
      <c r="E176" s="6" t="inlineStr">
        <is>
          <t>XAG</t>
        </is>
      </c>
      <c r="F176" s="6" t="inlineStr">
        <is>
          <t>Precious Metals</t>
        </is>
      </c>
      <c r="G176" s="6" t="inlineStr">
        <is>
          <t>PM-HEDGE-01</t>
        </is>
      </c>
      <c r="H176" s="6" t="inlineStr">
        <is>
          <t>A. Dubois</t>
        </is>
      </c>
      <c r="I176" s="6" t="inlineStr">
        <is>
          <t>Goldman Sachs</t>
        </is>
      </c>
      <c r="J176" s="6" t="inlineStr">
        <is>
          <t>Buy</t>
        </is>
      </c>
      <c r="K176" s="6" t="inlineStr">
        <is>
          <t>Spot</t>
        </is>
      </c>
      <c r="L176" s="7" t="n">
        <v>13200</v>
      </c>
      <c r="M176" s="6" t="inlineStr">
        <is>
          <t>troy oz</t>
        </is>
      </c>
      <c r="N176" s="8" t="n">
        <v>28.3931</v>
      </c>
      <c r="O176" s="8" t="n">
        <v>28.3829</v>
      </c>
      <c r="P176" s="9" t="n">
        <v>374788.92</v>
      </c>
      <c r="Q176" s="6" t="inlineStr">
        <is>
          <t>Pending</t>
        </is>
      </c>
      <c r="R176" s="6">
        <f>IFERROR(DATEVALUE(C176)-DATEVALUE(B176),"N/A")</f>
        <v/>
      </c>
      <c r="S176" s="6">
        <f>IF(AND(N176&lt;&gt;"",O176&lt;&gt;""),IF(N176&gt;O176,"Above","At/Below"),"N/A")</f>
        <v/>
      </c>
    </row>
    <row r="177">
      <c r="A177" s="10" t="inlineStr">
        <is>
          <t>TRD-000176</t>
        </is>
      </c>
      <c r="B177" s="10" t="inlineStr">
        <is>
          <t>2024-10-17</t>
        </is>
      </c>
      <c r="C177" s="10" t="inlineStr">
        <is>
          <t>2024-10-22</t>
        </is>
      </c>
      <c r="D177" s="10" t="inlineStr">
        <is>
          <t>Palladium</t>
        </is>
      </c>
      <c r="E177" s="10" t="inlineStr">
        <is>
          <t>XPD</t>
        </is>
      </c>
      <c r="F177" s="10" t="inlineStr">
        <is>
          <t>Precious Metals</t>
        </is>
      </c>
      <c r="G177" s="10" t="inlineStr">
        <is>
          <t>PM-PROP-01</t>
        </is>
      </c>
      <c r="H177" s="10" t="inlineStr">
        <is>
          <t>S. Okonkwo</t>
        </is>
      </c>
      <c r="I177" s="10" t="inlineStr">
        <is>
          <t>TD Securities</t>
        </is>
      </c>
      <c r="J177" s="10" t="inlineStr">
        <is>
          <t>Sell</t>
        </is>
      </c>
      <c r="K177" s="10" t="inlineStr">
        <is>
          <t>Forward</t>
        </is>
      </c>
      <c r="L177" s="11" t="n">
        <v>4500</v>
      </c>
      <c r="M177" s="10" t="inlineStr">
        <is>
          <t>troy oz</t>
        </is>
      </c>
      <c r="N177" s="12" t="n">
        <v>1050.8615</v>
      </c>
      <c r="O177" s="12" t="n">
        <v>1051.6045</v>
      </c>
      <c r="P177" s="13" t="n">
        <v>4728876.75</v>
      </c>
      <c r="Q177" s="10" t="inlineStr">
        <is>
          <t>Confirmed</t>
        </is>
      </c>
      <c r="R177" s="10">
        <f>IFERROR(DATEVALUE(C177)-DATEVALUE(B177),"N/A")</f>
        <v/>
      </c>
      <c r="S177" s="10">
        <f>IF(AND(N177&lt;&gt;"",O177&lt;&gt;""),IF(N177&gt;O177,"Above","At/Below"),"N/A")</f>
        <v/>
      </c>
    </row>
    <row r="178">
      <c r="A178" s="6" t="inlineStr">
        <is>
          <t>TRD-000177</t>
        </is>
      </c>
      <c r="B178" s="6" t="inlineStr">
        <is>
          <t>2024-07-05</t>
        </is>
      </c>
      <c r="C178" s="6" t="inlineStr">
        <is>
          <t>2024-07-10</t>
        </is>
      </c>
      <c r="D178" s="6" t="inlineStr">
        <is>
          <t>Palladium</t>
        </is>
      </c>
      <c r="E178" s="6" t="inlineStr">
        <is>
          <t>XPD</t>
        </is>
      </c>
      <c r="F178" s="6" t="inlineStr">
        <is>
          <t>Precious Metals</t>
        </is>
      </c>
      <c r="G178" s="6" t="inlineStr">
        <is>
          <t>PM-PROP-01</t>
        </is>
      </c>
      <c r="H178" s="6" t="inlineStr">
        <is>
          <t>J. Kowalski</t>
        </is>
      </c>
      <c r="I178" s="6" t="inlineStr">
        <is>
          <t>JPMorgan Commodities</t>
        </is>
      </c>
      <c r="J178" s="6" t="inlineStr">
        <is>
          <t>Sell</t>
        </is>
      </c>
      <c r="K178" s="6" t="inlineStr">
        <is>
          <t>Swap</t>
        </is>
      </c>
      <c r="L178" s="7" t="n">
        <v>38600</v>
      </c>
      <c r="M178" s="6" t="inlineStr">
        <is>
          <t>troy oz</t>
        </is>
      </c>
      <c r="N178" s="8" t="n">
        <v>1022.3458</v>
      </c>
      <c r="O178" s="8" t="n">
        <v>1022.2297</v>
      </c>
      <c r="P178" s="9" t="n">
        <v>39462547.88</v>
      </c>
      <c r="Q178" s="6" t="inlineStr">
        <is>
          <t>Pending</t>
        </is>
      </c>
      <c r="R178" s="6">
        <f>IFERROR(DATEVALUE(C178)-DATEVALUE(B178),"N/A")</f>
        <v/>
      </c>
      <c r="S178" s="6">
        <f>IF(AND(N178&lt;&gt;"",O178&lt;&gt;""),IF(N178&gt;O178,"Above","At/Below"),"N/A")</f>
        <v/>
      </c>
    </row>
    <row r="179">
      <c r="A179" s="10" t="inlineStr">
        <is>
          <t>TRD-000178</t>
        </is>
      </c>
      <c r="B179" s="10" t="inlineStr">
        <is>
          <t>2024-03-26</t>
        </is>
      </c>
      <c r="C179" s="10" t="inlineStr">
        <is>
          <t>2024-03-31</t>
        </is>
      </c>
      <c r="D179" s="10" t="inlineStr">
        <is>
          <t>Palladium</t>
        </is>
      </c>
      <c r="E179" s="10" t="inlineStr">
        <is>
          <t>XPD</t>
        </is>
      </c>
      <c r="F179" s="10" t="inlineStr">
        <is>
          <t>Precious Metals</t>
        </is>
      </c>
      <c r="G179" s="10" t="inlineStr">
        <is>
          <t>PM-PROP-01</t>
        </is>
      </c>
      <c r="H179" s="10" t="inlineStr">
        <is>
          <t>A. Dubois</t>
        </is>
      </c>
      <c r="I179" s="10" t="inlineStr">
        <is>
          <t>UBS AG</t>
        </is>
      </c>
      <c r="J179" s="10" t="inlineStr">
        <is>
          <t>Sell</t>
        </is>
      </c>
      <c r="K179" s="10" t="inlineStr">
        <is>
          <t>Forward</t>
        </is>
      </c>
      <c r="L179" s="11" t="n">
        <v>20800</v>
      </c>
      <c r="M179" s="10" t="inlineStr">
        <is>
          <t>troy oz</t>
        </is>
      </c>
      <c r="N179" s="12" t="n">
        <v>1032.2591</v>
      </c>
      <c r="O179" s="12" t="n">
        <v>1029.7147</v>
      </c>
      <c r="P179" s="13" t="n">
        <v>21470989.28</v>
      </c>
      <c r="Q179" s="10" t="inlineStr">
        <is>
          <t>Pending</t>
        </is>
      </c>
      <c r="R179" s="10">
        <f>IFERROR(DATEVALUE(C179)-DATEVALUE(B179),"N/A")</f>
        <v/>
      </c>
      <c r="S179" s="10">
        <f>IF(AND(N179&lt;&gt;"",O179&lt;&gt;""),IF(N179&gt;O179,"Above","At/Below"),"N/A")</f>
        <v/>
      </c>
    </row>
    <row r="180">
      <c r="A180" s="6" t="inlineStr">
        <is>
          <t>TRD-000179</t>
        </is>
      </c>
      <c r="B180" s="6" t="inlineStr">
        <is>
          <t>2024-12-09</t>
        </is>
      </c>
      <c r="C180" s="6" t="inlineStr">
        <is>
          <t>2024-12-11</t>
        </is>
      </c>
      <c r="D180" s="6" t="inlineStr">
        <is>
          <t>Palladium</t>
        </is>
      </c>
      <c r="E180" s="6" t="inlineStr">
        <is>
          <t>XPD</t>
        </is>
      </c>
      <c r="F180" s="6" t="inlineStr">
        <is>
          <t>Precious Metals</t>
        </is>
      </c>
      <c r="G180" s="6" t="inlineStr">
        <is>
          <t>PM-PROP-01</t>
        </is>
      </c>
      <c r="H180" s="6" t="inlineStr">
        <is>
          <t>T. Vasquez</t>
        </is>
      </c>
      <c r="I180" s="6" t="inlineStr">
        <is>
          <t>Barclays Metals</t>
        </is>
      </c>
      <c r="J180" s="6" t="inlineStr">
        <is>
          <t>Sell</t>
        </is>
      </c>
      <c r="K180" s="6" t="inlineStr">
        <is>
          <t>Spot</t>
        </is>
      </c>
      <c r="L180" s="7" t="n">
        <v>31100</v>
      </c>
      <c r="M180" s="6" t="inlineStr">
        <is>
          <t>troy oz</t>
        </is>
      </c>
      <c r="N180" s="8" t="n">
        <v>1047.201</v>
      </c>
      <c r="O180" s="8" t="n">
        <v>1045.2728</v>
      </c>
      <c r="P180" s="9" t="n">
        <v>32567951.1</v>
      </c>
      <c r="Q180" s="6" t="inlineStr">
        <is>
          <t>Settled</t>
        </is>
      </c>
      <c r="R180" s="6">
        <f>IFERROR(DATEVALUE(C180)-DATEVALUE(B180),"N/A")</f>
        <v/>
      </c>
      <c r="S180" s="6">
        <f>IF(AND(N180&lt;&gt;"",O180&lt;&gt;""),IF(N180&gt;O180,"Above","At/Below"),"N/A")</f>
        <v/>
      </c>
    </row>
    <row r="181">
      <c r="A181" s="10" t="inlineStr">
        <is>
          <t>TRD-000180</t>
        </is>
      </c>
      <c r="B181" s="10" t="inlineStr">
        <is>
          <t>2024-02-28</t>
        </is>
      </c>
      <c r="C181" s="10" t="inlineStr">
        <is>
          <t>2024-03-29</t>
        </is>
      </c>
      <c r="D181" s="10" t="inlineStr">
        <is>
          <t>Palladium</t>
        </is>
      </c>
      <c r="E181" s="10" t="inlineStr">
        <is>
          <t>XPD</t>
        </is>
      </c>
      <c r="F181" s="10" t="inlineStr">
        <is>
          <t>Precious Metals</t>
        </is>
      </c>
      <c r="G181" s="10" t="inlineStr">
        <is>
          <t>PM-PROP-01</t>
        </is>
      </c>
      <c r="H181" s="10" t="inlineStr">
        <is>
          <t>J. Kowalski</t>
        </is>
      </c>
      <c r="I181" s="10" t="inlineStr">
        <is>
          <t>Barclays Metals</t>
        </is>
      </c>
      <c r="J181" s="10" t="inlineStr">
        <is>
          <t>Sell</t>
        </is>
      </c>
      <c r="K181" s="10" t="inlineStr">
        <is>
          <t>Spot</t>
        </is>
      </c>
      <c r="L181" s="11" t="n">
        <v>36100</v>
      </c>
      <c r="M181" s="10" t="inlineStr">
        <is>
          <t>troy oz</t>
        </is>
      </c>
      <c r="N181" s="12" t="n">
        <v>1046.4442</v>
      </c>
      <c r="O181" s="12" t="n">
        <v>1044.4085</v>
      </c>
      <c r="P181" s="13" t="n">
        <v>37776635.62</v>
      </c>
      <c r="Q181" s="10" t="inlineStr">
        <is>
          <t>Settled</t>
        </is>
      </c>
      <c r="R181" s="10">
        <f>IFERROR(DATEVALUE(C181)-DATEVALUE(B181),"N/A")</f>
        <v/>
      </c>
      <c r="S181" s="10">
        <f>IF(AND(N181&lt;&gt;"",O181&lt;&gt;""),IF(N181&gt;O181,"Above","At/Below"),"N/A")</f>
        <v/>
      </c>
    </row>
    <row r="182">
      <c r="A182" s="6" t="inlineStr">
        <is>
          <t>TRD-000181</t>
        </is>
      </c>
      <c r="B182" s="6" t="inlineStr">
        <is>
          <t>2024-04-17</t>
        </is>
      </c>
      <c r="C182" s="6" t="inlineStr">
        <is>
          <t>2024-04-19</t>
        </is>
      </c>
      <c r="D182" s="6" t="inlineStr">
        <is>
          <t>Palladium</t>
        </is>
      </c>
      <c r="E182" s="6" t="inlineStr">
        <is>
          <t>XPD</t>
        </is>
      </c>
      <c r="F182" s="6" t="inlineStr">
        <is>
          <t>Precious Metals</t>
        </is>
      </c>
      <c r="G182" s="6" t="inlineStr">
        <is>
          <t>PM-CLIENT-01</t>
        </is>
      </c>
      <c r="H182" s="6" t="inlineStr">
        <is>
          <t>T. Vasquez</t>
        </is>
      </c>
      <c r="I182" s="6" t="inlineStr">
        <is>
          <t>HSBC Metals</t>
        </is>
      </c>
      <c r="J182" s="6" t="inlineStr">
        <is>
          <t>Sell</t>
        </is>
      </c>
      <c r="K182" s="6" t="inlineStr">
        <is>
          <t>Spot</t>
        </is>
      </c>
      <c r="L182" s="7" t="n">
        <v>26700</v>
      </c>
      <c r="M182" s="6" t="inlineStr">
        <is>
          <t>troy oz</t>
        </is>
      </c>
      <c r="N182" s="8" t="n">
        <v>1031.3722</v>
      </c>
      <c r="O182" s="8" t="n">
        <v>1031.9524</v>
      </c>
      <c r="P182" s="9" t="n">
        <v>27537637.74</v>
      </c>
      <c r="Q182" s="6" t="inlineStr">
        <is>
          <t>Settled</t>
        </is>
      </c>
      <c r="R182" s="6">
        <f>IFERROR(DATEVALUE(C182)-DATEVALUE(B182),"N/A")</f>
        <v/>
      </c>
      <c r="S182" s="6">
        <f>IF(AND(N182&lt;&gt;"",O182&lt;&gt;""),IF(N182&gt;O182,"Above","At/Below"),"N/A")</f>
        <v/>
      </c>
    </row>
    <row r="183">
      <c r="A183" s="10" t="inlineStr">
        <is>
          <t>TRD-000182</t>
        </is>
      </c>
      <c r="B183" s="10" t="inlineStr">
        <is>
          <t>2024-11-21</t>
        </is>
      </c>
      <c r="C183" s="10" t="inlineStr">
        <is>
          <t>2024-11-23</t>
        </is>
      </c>
      <c r="D183" s="10" t="inlineStr">
        <is>
          <t>Nickel</t>
        </is>
      </c>
      <c r="E183" s="10" t="inlineStr">
        <is>
          <t>NI</t>
        </is>
      </c>
      <c r="F183" s="10" t="inlineStr">
        <is>
          <t>Base Metals</t>
        </is>
      </c>
      <c r="G183" s="10" t="inlineStr">
        <is>
          <t>BM-PROP-01</t>
        </is>
      </c>
      <c r="H183" s="10" t="inlineStr">
        <is>
          <t>A. Dubois</t>
        </is>
      </c>
      <c r="I183" s="10" t="inlineStr">
        <is>
          <t>BNP Paribas</t>
        </is>
      </c>
      <c r="J183" s="10" t="inlineStr">
        <is>
          <t>Buy</t>
        </is>
      </c>
      <c r="K183" s="10" t="inlineStr">
        <is>
          <t>Forward</t>
        </is>
      </c>
      <c r="L183" s="11" t="n">
        <v>2925</v>
      </c>
      <c r="M183" s="10" t="inlineStr">
        <is>
          <t>MT</t>
        </is>
      </c>
      <c r="N183" s="12" t="n">
        <v>17570.6606</v>
      </c>
      <c r="O183" s="12" t="n">
        <v>17523.1837</v>
      </c>
      <c r="P183" s="13" t="n">
        <v>51394182.25</v>
      </c>
      <c r="Q183" s="10" t="inlineStr">
        <is>
          <t>Confirmed</t>
        </is>
      </c>
      <c r="R183" s="10">
        <f>IFERROR(DATEVALUE(C183)-DATEVALUE(B183),"N/A")</f>
        <v/>
      </c>
      <c r="S183" s="10">
        <f>IF(AND(N183&lt;&gt;"",O183&lt;&gt;""),IF(N183&gt;O183,"Above","At/Below"),"N/A")</f>
        <v/>
      </c>
    </row>
    <row r="184">
      <c r="A184" s="6" t="inlineStr">
        <is>
          <t>TRD-000183</t>
        </is>
      </c>
      <c r="B184" s="6" t="inlineStr">
        <is>
          <t>2024-06-05</t>
        </is>
      </c>
      <c r="C184" s="6" t="inlineStr">
        <is>
          <t>2024-07-05</t>
        </is>
      </c>
      <c r="D184" s="6" t="inlineStr">
        <is>
          <t>Copper</t>
        </is>
      </c>
      <c r="E184" s="6" t="inlineStr">
        <is>
          <t>HG</t>
        </is>
      </c>
      <c r="F184" s="6" t="inlineStr">
        <is>
          <t>Base Metals</t>
        </is>
      </c>
      <c r="G184" s="6" t="inlineStr">
        <is>
          <t>BM-PROP-01</t>
        </is>
      </c>
      <c r="H184" s="6" t="inlineStr">
        <is>
          <t>J. Kowalski</t>
        </is>
      </c>
      <c r="I184" s="6" t="inlineStr">
        <is>
          <t>HSBC Metals</t>
        </is>
      </c>
      <c r="J184" s="6" t="inlineStr">
        <is>
          <t>Sell</t>
        </is>
      </c>
      <c r="K184" s="6" t="inlineStr">
        <is>
          <t>Forward</t>
        </is>
      </c>
      <c r="L184" s="7" t="n">
        <v>2725</v>
      </c>
      <c r="M184" s="6" t="inlineStr">
        <is>
          <t>lbs</t>
        </is>
      </c>
      <c r="N184" s="8" t="n">
        <v>3.9799</v>
      </c>
      <c r="O184" s="8" t="n">
        <v>3.9728</v>
      </c>
      <c r="P184" s="9" t="n">
        <v>10845.23</v>
      </c>
      <c r="Q184" s="6" t="inlineStr">
        <is>
          <t>Cancelled</t>
        </is>
      </c>
      <c r="R184" s="6">
        <f>IFERROR(DATEVALUE(C184)-DATEVALUE(B184),"N/A")</f>
        <v/>
      </c>
      <c r="S184" s="6">
        <f>IF(AND(N184&lt;&gt;"",O184&lt;&gt;""),IF(N184&gt;O184,"Above","At/Below"),"N/A")</f>
        <v/>
      </c>
    </row>
    <row r="185">
      <c r="A185" s="10" t="inlineStr">
        <is>
          <t>TRD-000184</t>
        </is>
      </c>
      <c r="B185" s="10" t="inlineStr">
        <is>
          <t>2024-07-24</t>
        </is>
      </c>
      <c r="C185" s="10" t="inlineStr">
        <is>
          <t>2024-07-29</t>
        </is>
      </c>
      <c r="D185" s="10" t="inlineStr">
        <is>
          <t>Nickel</t>
        </is>
      </c>
      <c r="E185" s="10" t="inlineStr">
        <is>
          <t>NI</t>
        </is>
      </c>
      <c r="F185" s="10" t="inlineStr">
        <is>
          <t>Base Metals</t>
        </is>
      </c>
      <c r="G185" s="10" t="inlineStr">
        <is>
          <t>BM-PROP-01</t>
        </is>
      </c>
      <c r="H185" s="10" t="inlineStr">
        <is>
          <t>T. Vasquez</t>
        </is>
      </c>
      <c r="I185" s="10" t="inlineStr">
        <is>
          <t>Deutsche Bank</t>
        </is>
      </c>
      <c r="J185" s="10" t="inlineStr">
        <is>
          <t>Sell</t>
        </is>
      </c>
      <c r="K185" s="10" t="inlineStr">
        <is>
          <t>Spot</t>
        </is>
      </c>
      <c r="L185" s="11" t="n">
        <v>875</v>
      </c>
      <c r="M185" s="10" t="inlineStr">
        <is>
          <t>MT</t>
        </is>
      </c>
      <c r="N185" s="12" t="n">
        <v>17011.7815</v>
      </c>
      <c r="O185" s="12" t="n">
        <v>16939.9673</v>
      </c>
      <c r="P185" s="13" t="n">
        <v>14885308.81</v>
      </c>
      <c r="Q185" s="10" t="inlineStr">
        <is>
          <t>Confirmed</t>
        </is>
      </c>
      <c r="R185" s="10">
        <f>IFERROR(DATEVALUE(C185)-DATEVALUE(B185),"N/A")</f>
        <v/>
      </c>
      <c r="S185" s="10">
        <f>IF(AND(N185&lt;&gt;"",O185&lt;&gt;""),IF(N185&gt;O185,"Above","At/Below"),"N/A")</f>
        <v/>
      </c>
    </row>
    <row r="186">
      <c r="A186" s="6" t="inlineStr">
        <is>
          <t>TRD-000185</t>
        </is>
      </c>
      <c r="B186" s="6" t="inlineStr">
        <is>
          <t>2024-09-06</t>
        </is>
      </c>
      <c r="C186" s="6" t="inlineStr">
        <is>
          <t>2024-09-08</t>
        </is>
      </c>
      <c r="D186" s="6" t="inlineStr">
        <is>
          <t>Platinum</t>
        </is>
      </c>
      <c r="E186" s="6" t="inlineStr">
        <is>
          <t>XPT</t>
        </is>
      </c>
      <c r="F186" s="6" t="inlineStr">
        <is>
          <t>Precious Metals</t>
        </is>
      </c>
      <c r="G186" s="6" t="inlineStr">
        <is>
          <t>PM-CLIENT-01</t>
        </is>
      </c>
      <c r="H186" s="6" t="inlineStr">
        <is>
          <t>L. Chen</t>
        </is>
      </c>
      <c r="I186" s="6" t="inlineStr">
        <is>
          <t>Scotiabank</t>
        </is>
      </c>
      <c r="J186" s="6" t="inlineStr">
        <is>
          <t>Sell</t>
        </is>
      </c>
      <c r="K186" s="6" t="inlineStr">
        <is>
          <t>Forward</t>
        </is>
      </c>
      <c r="L186" s="7" t="n">
        <v>27600</v>
      </c>
      <c r="M186" s="6" t="inlineStr">
        <is>
          <t>troy oz</t>
        </is>
      </c>
      <c r="N186" s="8" t="n">
        <v>951.426</v>
      </c>
      <c r="O186" s="8" t="n">
        <v>948.4904</v>
      </c>
      <c r="P186" s="9" t="n">
        <v>26259357.6</v>
      </c>
      <c r="Q186" s="6" t="inlineStr">
        <is>
          <t>Settled</t>
        </is>
      </c>
      <c r="R186" s="6">
        <f>IFERROR(DATEVALUE(C186)-DATEVALUE(B186),"N/A")</f>
        <v/>
      </c>
      <c r="S186" s="6">
        <f>IF(AND(N186&lt;&gt;"",O186&lt;&gt;""),IF(N186&gt;O186,"Above","At/Below"),"N/A")</f>
        <v/>
      </c>
    </row>
    <row r="187">
      <c r="A187" s="10" t="inlineStr">
        <is>
          <t>TRD-000186</t>
        </is>
      </c>
      <c r="B187" s="10" t="inlineStr">
        <is>
          <t>2024-10-31</t>
        </is>
      </c>
      <c r="C187" s="10" t="inlineStr">
        <is>
          <t>2024-11-30</t>
        </is>
      </c>
      <c r="D187" s="10" t="inlineStr">
        <is>
          <t>Copper</t>
        </is>
      </c>
      <c r="E187" s="10" t="inlineStr">
        <is>
          <t>HG</t>
        </is>
      </c>
      <c r="F187" s="10" t="inlineStr">
        <is>
          <t>Base Metals</t>
        </is>
      </c>
      <c r="G187" s="10" t="inlineStr">
        <is>
          <t>BM-HEDGE-01</t>
        </is>
      </c>
      <c r="H187" s="10" t="inlineStr">
        <is>
          <t>L. Chen</t>
        </is>
      </c>
      <c r="I187" s="10" t="inlineStr">
        <is>
          <t>BNP Paribas</t>
        </is>
      </c>
      <c r="J187" s="10" t="inlineStr">
        <is>
          <t>Buy</t>
        </is>
      </c>
      <c r="K187" s="10" t="inlineStr">
        <is>
          <t>Spot</t>
        </is>
      </c>
      <c r="L187" s="11" t="n">
        <v>1475</v>
      </c>
      <c r="M187" s="10" t="inlineStr">
        <is>
          <t>lbs</t>
        </is>
      </c>
      <c r="N187" s="12" t="n">
        <v>4.0962</v>
      </c>
      <c r="O187" s="12" t="n">
        <v>4.0999</v>
      </c>
      <c r="P187" s="13" t="n">
        <v>6041.89</v>
      </c>
      <c r="Q187" s="10" t="inlineStr">
        <is>
          <t>Settled</t>
        </is>
      </c>
      <c r="R187" s="10">
        <f>IFERROR(DATEVALUE(C187)-DATEVALUE(B187),"N/A")</f>
        <v/>
      </c>
      <c r="S187" s="10">
        <f>IF(AND(N187&lt;&gt;"",O187&lt;&gt;""),IF(N187&gt;O187,"Above","At/Below"),"N/A")</f>
        <v/>
      </c>
    </row>
    <row r="188">
      <c r="A188" s="6" t="inlineStr">
        <is>
          <t>TRD-000187</t>
        </is>
      </c>
      <c r="B188" s="6" t="inlineStr">
        <is>
          <t>2024-10-28</t>
        </is>
      </c>
      <c r="C188" s="6" t="inlineStr">
        <is>
          <t>2024-11-27</t>
        </is>
      </c>
      <c r="D188" s="6" t="inlineStr">
        <is>
          <t>Gold</t>
        </is>
      </c>
      <c r="E188" s="6" t="inlineStr">
        <is>
          <t>XAU</t>
        </is>
      </c>
      <c r="F188" s="6" t="inlineStr">
        <is>
          <t>Precious Metals</t>
        </is>
      </c>
      <c r="G188" s="6" t="inlineStr">
        <is>
          <t>PM-CLIENT-01</t>
        </is>
      </c>
      <c r="H188" s="6" t="inlineStr">
        <is>
          <t>J. Kowalski</t>
        </is>
      </c>
      <c r="I188" s="6" t="inlineStr">
        <is>
          <t>TD Securities</t>
        </is>
      </c>
      <c r="J188" s="6" t="inlineStr">
        <is>
          <t>Buy</t>
        </is>
      </c>
      <c r="K188" s="6" t="inlineStr">
        <is>
          <t>Spot</t>
        </is>
      </c>
      <c r="L188" s="7" t="n">
        <v>45300</v>
      </c>
      <c r="M188" s="6" t="inlineStr">
        <is>
          <t>troy oz</t>
        </is>
      </c>
      <c r="N188" s="8" t="n">
        <v>2408.8339</v>
      </c>
      <c r="O188" s="8" t="n">
        <v>2412.5226</v>
      </c>
      <c r="P188" s="9" t="n">
        <v>109120175.67</v>
      </c>
      <c r="Q188" s="6" t="inlineStr">
        <is>
          <t>Confirmed</t>
        </is>
      </c>
      <c r="R188" s="6">
        <f>IFERROR(DATEVALUE(C188)-DATEVALUE(B188),"N/A")</f>
        <v/>
      </c>
      <c r="S188" s="6">
        <f>IF(AND(N188&lt;&gt;"",O188&lt;&gt;""),IF(N188&gt;O188,"Above","At/Below"),"N/A")</f>
        <v/>
      </c>
    </row>
    <row r="189">
      <c r="A189" s="10" t="inlineStr">
        <is>
          <t>TRD-000188</t>
        </is>
      </c>
      <c r="B189" s="10" t="inlineStr">
        <is>
          <t>2024-02-01</t>
        </is>
      </c>
      <c r="C189" s="10" t="inlineStr">
        <is>
          <t>2024-02-06</t>
        </is>
      </c>
      <c r="D189" s="10" t="inlineStr">
        <is>
          <t>Gold</t>
        </is>
      </c>
      <c r="E189" s="10" t="inlineStr">
        <is>
          <t>XAU</t>
        </is>
      </c>
      <c r="F189" s="10" t="inlineStr">
        <is>
          <t>Precious Metals</t>
        </is>
      </c>
      <c r="G189" s="10" t="inlineStr">
        <is>
          <t>PM-PROP-01</t>
        </is>
      </c>
      <c r="H189" s="10" t="inlineStr">
        <is>
          <t>S. Okonkwo</t>
        </is>
      </c>
      <c r="I189" s="10" t="inlineStr">
        <is>
          <t>Barclays Metals</t>
        </is>
      </c>
      <c r="J189" s="10" t="inlineStr">
        <is>
          <t>Buy</t>
        </is>
      </c>
      <c r="K189" s="10" t="inlineStr">
        <is>
          <t>Forward</t>
        </is>
      </c>
      <c r="L189" s="11" t="n">
        <v>27700</v>
      </c>
      <c r="M189" s="10" t="inlineStr">
        <is>
          <t>troy oz</t>
        </is>
      </c>
      <c r="N189" s="12" t="n">
        <v>2343.6733</v>
      </c>
      <c r="O189" s="12" t="n">
        <v>2335.6563</v>
      </c>
      <c r="P189" s="13" t="n">
        <v>64919750.41</v>
      </c>
      <c r="Q189" s="10" t="inlineStr">
        <is>
          <t>Cancelled</t>
        </is>
      </c>
      <c r="R189" s="10">
        <f>IFERROR(DATEVALUE(C189)-DATEVALUE(B189),"N/A")</f>
        <v/>
      </c>
      <c r="S189" s="10">
        <f>IF(AND(N189&lt;&gt;"",O189&lt;&gt;""),IF(N189&gt;O189,"Above","At/Below"),"N/A")</f>
        <v/>
      </c>
    </row>
    <row r="190">
      <c r="A190" s="6" t="inlineStr">
        <is>
          <t>TRD-000189</t>
        </is>
      </c>
      <c r="B190" s="6" t="inlineStr">
        <is>
          <t>2024-08-16</t>
        </is>
      </c>
      <c r="C190" s="6" t="inlineStr">
        <is>
          <t>2024-09-15</t>
        </is>
      </c>
      <c r="D190" s="6" t="inlineStr">
        <is>
          <t>Palladium</t>
        </is>
      </c>
      <c r="E190" s="6" t="inlineStr">
        <is>
          <t>XPD</t>
        </is>
      </c>
      <c r="F190" s="6" t="inlineStr">
        <is>
          <t>Precious Metals</t>
        </is>
      </c>
      <c r="G190" s="6" t="inlineStr">
        <is>
          <t>PM-CLIENT-01</t>
        </is>
      </c>
      <c r="H190" s="6" t="inlineStr">
        <is>
          <t>L. Chen</t>
        </is>
      </c>
      <c r="I190" s="6" t="inlineStr">
        <is>
          <t>Deutsche Bank</t>
        </is>
      </c>
      <c r="J190" s="6" t="inlineStr">
        <is>
          <t>Sell</t>
        </is>
      </c>
      <c r="K190" s="6" t="inlineStr">
        <is>
          <t>Spot</t>
        </is>
      </c>
      <c r="L190" s="7" t="n">
        <v>34500</v>
      </c>
      <c r="M190" s="6" t="inlineStr">
        <is>
          <t>troy oz</t>
        </is>
      </c>
      <c r="N190" s="8" t="n">
        <v>1064.6644</v>
      </c>
      <c r="O190" s="8" t="n">
        <v>1060.2814</v>
      </c>
      <c r="P190" s="9" t="n">
        <v>36730921.8</v>
      </c>
      <c r="Q190" s="6" t="inlineStr">
        <is>
          <t>Confirmed</t>
        </is>
      </c>
      <c r="R190" s="6">
        <f>IFERROR(DATEVALUE(C190)-DATEVALUE(B190),"N/A")</f>
        <v/>
      </c>
      <c r="S190" s="6">
        <f>IF(AND(N190&lt;&gt;"",O190&lt;&gt;""),IF(N190&gt;O190,"Above","At/Below"),"N/A")</f>
        <v/>
      </c>
    </row>
    <row r="191">
      <c r="A191" s="10" t="inlineStr">
        <is>
          <t>TRD-000190</t>
        </is>
      </c>
      <c r="B191" s="10" t="inlineStr">
        <is>
          <t>2024-05-06</t>
        </is>
      </c>
      <c r="C191" s="10" t="inlineStr">
        <is>
          <t>2024-08-04</t>
        </is>
      </c>
      <c r="D191" s="10" t="inlineStr">
        <is>
          <t>Gold</t>
        </is>
      </c>
      <c r="E191" s="10" t="inlineStr">
        <is>
          <t>XAU</t>
        </is>
      </c>
      <c r="F191" s="10" t="inlineStr">
        <is>
          <t>Precious Metals</t>
        </is>
      </c>
      <c r="G191" s="10" t="inlineStr">
        <is>
          <t>PM-CLIENT-01</t>
        </is>
      </c>
      <c r="H191" s="10" t="inlineStr">
        <is>
          <t>P. O'Brien</t>
        </is>
      </c>
      <c r="I191" s="10" t="inlineStr">
        <is>
          <t>Barclays Metals</t>
        </is>
      </c>
      <c r="J191" s="10" t="inlineStr">
        <is>
          <t>Sell</t>
        </is>
      </c>
      <c r="K191" s="10" t="inlineStr">
        <is>
          <t>Spot</t>
        </is>
      </c>
      <c r="L191" s="11" t="n">
        <v>28500</v>
      </c>
      <c r="M191" s="10" t="inlineStr">
        <is>
          <t>troy oz</t>
        </is>
      </c>
      <c r="N191" s="12" t="n">
        <v>2392.9892</v>
      </c>
      <c r="O191" s="12" t="n">
        <v>2392.0063</v>
      </c>
      <c r="P191" s="13" t="n">
        <v>68200192.2</v>
      </c>
      <c r="Q191" s="10" t="inlineStr">
        <is>
          <t>Confirmed</t>
        </is>
      </c>
      <c r="R191" s="10">
        <f>IFERROR(DATEVALUE(C191)-DATEVALUE(B191),"N/A")</f>
        <v/>
      </c>
      <c r="S191" s="10">
        <f>IF(AND(N191&lt;&gt;"",O191&lt;&gt;""),IF(N191&gt;O191,"Above","At/Below"),"N/A")</f>
        <v/>
      </c>
    </row>
    <row r="192">
      <c r="A192" s="6" t="inlineStr">
        <is>
          <t>TRD-000191</t>
        </is>
      </c>
      <c r="B192" s="6" t="inlineStr">
        <is>
          <t>2024-04-17</t>
        </is>
      </c>
      <c r="C192" s="6" t="inlineStr">
        <is>
          <t>2024-04-19</t>
        </is>
      </c>
      <c r="D192" s="6" t="inlineStr">
        <is>
          <t>Zinc</t>
        </is>
      </c>
      <c r="E192" s="6" t="inlineStr">
        <is>
          <t>ZN</t>
        </is>
      </c>
      <c r="F192" s="6" t="inlineStr">
        <is>
          <t>Base Metals</t>
        </is>
      </c>
      <c r="G192" s="6" t="inlineStr">
        <is>
          <t>BM-HEDGE-01</t>
        </is>
      </c>
      <c r="H192" s="6" t="inlineStr">
        <is>
          <t>S. Okonkwo</t>
        </is>
      </c>
      <c r="I192" s="6" t="inlineStr">
        <is>
          <t>TD Securities</t>
        </is>
      </c>
      <c r="J192" s="6" t="inlineStr">
        <is>
          <t>Sell</t>
        </is>
      </c>
      <c r="K192" s="6" t="inlineStr">
        <is>
          <t>Spot</t>
        </is>
      </c>
      <c r="L192" s="7" t="n">
        <v>4850</v>
      </c>
      <c r="M192" s="6" t="inlineStr">
        <is>
          <t>MT</t>
        </is>
      </c>
      <c r="N192" s="8" t="n">
        <v>2764.2403</v>
      </c>
      <c r="O192" s="8" t="n">
        <v>2765.4089</v>
      </c>
      <c r="P192" s="9" t="n">
        <v>13406565.46</v>
      </c>
      <c r="Q192" s="6" t="inlineStr">
        <is>
          <t>Settled</t>
        </is>
      </c>
      <c r="R192" s="6">
        <f>IFERROR(DATEVALUE(C192)-DATEVALUE(B192),"N/A")</f>
        <v/>
      </c>
      <c r="S192" s="6">
        <f>IF(AND(N192&lt;&gt;"",O192&lt;&gt;""),IF(N192&gt;O192,"Above","At/Below"),"N/A")</f>
        <v/>
      </c>
    </row>
    <row r="193">
      <c r="A193" s="10" t="inlineStr">
        <is>
          <t>TRD-000192</t>
        </is>
      </c>
      <c r="B193" s="10" t="inlineStr">
        <is>
          <t>2024-04-05</t>
        </is>
      </c>
      <c r="C193" s="10" t="inlineStr">
        <is>
          <t>2024-04-10</t>
        </is>
      </c>
      <c r="D193" s="10" t="inlineStr">
        <is>
          <t>Zinc</t>
        </is>
      </c>
      <c r="E193" s="10" t="inlineStr">
        <is>
          <t>ZN</t>
        </is>
      </c>
      <c r="F193" s="10" t="inlineStr">
        <is>
          <t>Base Metals</t>
        </is>
      </c>
      <c r="G193" s="10" t="inlineStr">
        <is>
          <t>BM-HEDGE-01</t>
        </is>
      </c>
      <c r="H193" s="10" t="inlineStr">
        <is>
          <t>R. Nakamura</t>
        </is>
      </c>
      <c r="I193" s="10" t="inlineStr">
        <is>
          <t>HSBC Metals</t>
        </is>
      </c>
      <c r="J193" s="10" t="inlineStr">
        <is>
          <t>Sell</t>
        </is>
      </c>
      <c r="K193" s="10" t="inlineStr">
        <is>
          <t>Forward</t>
        </is>
      </c>
      <c r="L193" s="11" t="n">
        <v>1325</v>
      </c>
      <c r="M193" s="10" t="inlineStr">
        <is>
          <t>MT</t>
        </is>
      </c>
      <c r="N193" s="12" t="n">
        <v>2740.1552</v>
      </c>
      <c r="O193" s="12" t="n">
        <v>2728.0004</v>
      </c>
      <c r="P193" s="13" t="n">
        <v>3630705.64</v>
      </c>
      <c r="Q193" s="10" t="inlineStr">
        <is>
          <t>Confirmed</t>
        </is>
      </c>
      <c r="R193" s="10">
        <f>IFERROR(DATEVALUE(C193)-DATEVALUE(B193),"N/A")</f>
        <v/>
      </c>
      <c r="S193" s="10">
        <f>IF(AND(N193&lt;&gt;"",O193&lt;&gt;""),IF(N193&gt;O193,"Above","At/Below"),"N/A")</f>
        <v/>
      </c>
    </row>
    <row r="194">
      <c r="A194" s="6" t="inlineStr">
        <is>
          <t>TRD-000193</t>
        </is>
      </c>
      <c r="B194" s="6" t="inlineStr">
        <is>
          <t>2024-07-11</t>
        </is>
      </c>
      <c r="C194" s="6" t="inlineStr">
        <is>
          <t>2024-07-16</t>
        </is>
      </c>
      <c r="D194" s="6" t="inlineStr">
        <is>
          <t>Palladium</t>
        </is>
      </c>
      <c r="E194" s="6" t="inlineStr">
        <is>
          <t>XPD</t>
        </is>
      </c>
      <c r="F194" s="6" t="inlineStr">
        <is>
          <t>Precious Metals</t>
        </is>
      </c>
      <c r="G194" s="6" t="inlineStr">
        <is>
          <t>PM-PROP-01</t>
        </is>
      </c>
      <c r="H194" s="6" t="inlineStr">
        <is>
          <t>L. Chen</t>
        </is>
      </c>
      <c r="I194" s="6" t="inlineStr">
        <is>
          <t>TD Securities</t>
        </is>
      </c>
      <c r="J194" s="6" t="inlineStr">
        <is>
          <t>Buy</t>
        </is>
      </c>
      <c r="K194" s="6" t="inlineStr">
        <is>
          <t>Option</t>
        </is>
      </c>
      <c r="L194" s="7" t="n">
        <v>30900</v>
      </c>
      <c r="M194" s="6" t="inlineStr">
        <is>
          <t>troy oz</t>
        </is>
      </c>
      <c r="N194" s="8" t="n">
        <v>1067.5061</v>
      </c>
      <c r="O194" s="8" t="n">
        <v>1068.2356</v>
      </c>
      <c r="P194" s="9" t="n">
        <v>32985938.49</v>
      </c>
      <c r="Q194" s="6" t="inlineStr">
        <is>
          <t>Confirmed</t>
        </is>
      </c>
      <c r="R194" s="6">
        <f>IFERROR(DATEVALUE(C194)-DATEVALUE(B194),"N/A")</f>
        <v/>
      </c>
      <c r="S194" s="6">
        <f>IF(AND(N194&lt;&gt;"",O194&lt;&gt;""),IF(N194&gt;O194,"Above","At/Below"),"N/A")</f>
        <v/>
      </c>
    </row>
    <row r="195">
      <c r="A195" s="10" t="inlineStr">
        <is>
          <t>TRD-000194</t>
        </is>
      </c>
      <c r="B195" s="10" t="inlineStr">
        <is>
          <t>2024-01-11</t>
        </is>
      </c>
      <c r="C195" s="10" t="inlineStr">
        <is>
          <t>2024-01-13</t>
        </is>
      </c>
      <c r="D195" s="10" t="inlineStr">
        <is>
          <t>Aluminium</t>
        </is>
      </c>
      <c r="E195" s="10" t="inlineStr">
        <is>
          <t>AL</t>
        </is>
      </c>
      <c r="F195" s="10" t="inlineStr">
        <is>
          <t>Base Metals</t>
        </is>
      </c>
      <c r="G195" s="10" t="inlineStr">
        <is>
          <t>BM-HEDGE-01</t>
        </is>
      </c>
      <c r="H195" s="10" t="inlineStr">
        <is>
          <t>L. Chen</t>
        </is>
      </c>
      <c r="I195" s="10" t="inlineStr">
        <is>
          <t>BNP Paribas</t>
        </is>
      </c>
      <c r="J195" s="10" t="inlineStr">
        <is>
          <t>Buy</t>
        </is>
      </c>
      <c r="K195" s="10" t="inlineStr">
        <is>
          <t>Forward</t>
        </is>
      </c>
      <c r="L195" s="11" t="n">
        <v>4750</v>
      </c>
      <c r="M195" s="10" t="inlineStr">
        <is>
          <t>MT</t>
        </is>
      </c>
      <c r="N195" s="12" t="n">
        <v>2565.4922</v>
      </c>
      <c r="O195" s="12" t="n">
        <v>2557.1041</v>
      </c>
      <c r="P195" s="13" t="n">
        <v>12186087.95</v>
      </c>
      <c r="Q195" s="10" t="inlineStr">
        <is>
          <t>Pending</t>
        </is>
      </c>
      <c r="R195" s="10">
        <f>IFERROR(DATEVALUE(C195)-DATEVALUE(B195),"N/A")</f>
        <v/>
      </c>
      <c r="S195" s="10">
        <f>IF(AND(N195&lt;&gt;"",O195&lt;&gt;""),IF(N195&gt;O195,"Above","At/Below"),"N/A")</f>
        <v/>
      </c>
    </row>
    <row r="196">
      <c r="A196" s="6" t="inlineStr">
        <is>
          <t>TRD-000195</t>
        </is>
      </c>
      <c r="B196" s="6" t="inlineStr">
        <is>
          <t>2024-06-20</t>
        </is>
      </c>
      <c r="C196" s="6" t="inlineStr">
        <is>
          <t>2024-07-20</t>
        </is>
      </c>
      <c r="D196" s="6" t="inlineStr">
        <is>
          <t>Palladium</t>
        </is>
      </c>
      <c r="E196" s="6" t="inlineStr">
        <is>
          <t>XPD</t>
        </is>
      </c>
      <c r="F196" s="6" t="inlineStr">
        <is>
          <t>Precious Metals</t>
        </is>
      </c>
      <c r="G196" s="6" t="inlineStr">
        <is>
          <t>PM-HEDGE-01</t>
        </is>
      </c>
      <c r="H196" s="6" t="inlineStr">
        <is>
          <t>A. Dubois</t>
        </is>
      </c>
      <c r="I196" s="6" t="inlineStr">
        <is>
          <t>JPMorgan Commodities</t>
        </is>
      </c>
      <c r="J196" s="6" t="inlineStr">
        <is>
          <t>Sell</t>
        </is>
      </c>
      <c r="K196" s="6" t="inlineStr">
        <is>
          <t>Spot</t>
        </is>
      </c>
      <c r="L196" s="7" t="n">
        <v>14500</v>
      </c>
      <c r="M196" s="6" t="inlineStr">
        <is>
          <t>troy oz</t>
        </is>
      </c>
      <c r="N196" s="8" t="n">
        <v>1033.8901</v>
      </c>
      <c r="O196" s="8" t="n">
        <v>1031.2696</v>
      </c>
      <c r="P196" s="9" t="n">
        <v>14991406.45</v>
      </c>
      <c r="Q196" s="6" t="inlineStr">
        <is>
          <t>Confirmed</t>
        </is>
      </c>
      <c r="R196" s="6">
        <f>IFERROR(DATEVALUE(C196)-DATEVALUE(B196),"N/A")</f>
        <v/>
      </c>
      <c r="S196" s="6">
        <f>IF(AND(N196&lt;&gt;"",O196&lt;&gt;""),IF(N196&gt;O196,"Above","At/Below"),"N/A")</f>
        <v/>
      </c>
    </row>
    <row r="197">
      <c r="A197" s="10" t="inlineStr">
        <is>
          <t>TRD-000196</t>
        </is>
      </c>
      <c r="B197" s="10" t="inlineStr">
        <is>
          <t>2024-03-12</t>
        </is>
      </c>
      <c r="C197" s="10" t="inlineStr">
        <is>
          <t>2024-06-10</t>
        </is>
      </c>
      <c r="D197" s="10" t="inlineStr">
        <is>
          <t>Nickel</t>
        </is>
      </c>
      <c r="E197" s="10" t="inlineStr">
        <is>
          <t>NI</t>
        </is>
      </c>
      <c r="F197" s="10" t="inlineStr">
        <is>
          <t>Base Metals</t>
        </is>
      </c>
      <c r="G197" s="10" t="inlineStr">
        <is>
          <t>BM-HEDGE-01</t>
        </is>
      </c>
      <c r="H197" s="10" t="inlineStr">
        <is>
          <t>L. Chen</t>
        </is>
      </c>
      <c r="I197" s="10" t="inlineStr">
        <is>
          <t>BNP Paribas</t>
        </is>
      </c>
      <c r="J197" s="10" t="inlineStr">
        <is>
          <t>Buy</t>
        </is>
      </c>
      <c r="K197" s="10" t="inlineStr">
        <is>
          <t>Spot</t>
        </is>
      </c>
      <c r="L197" s="11" t="n">
        <v>2050</v>
      </c>
      <c r="M197" s="10" t="inlineStr">
        <is>
          <t>MT</t>
        </is>
      </c>
      <c r="N197" s="12" t="n">
        <v>17462.2667</v>
      </c>
      <c r="O197" s="12" t="n">
        <v>17446.6082</v>
      </c>
      <c r="P197" s="13" t="n">
        <v>35797646.73</v>
      </c>
      <c r="Q197" s="10" t="inlineStr">
        <is>
          <t>Confirmed</t>
        </is>
      </c>
      <c r="R197" s="10">
        <f>IFERROR(DATEVALUE(C197)-DATEVALUE(B197),"N/A")</f>
        <v/>
      </c>
      <c r="S197" s="10">
        <f>IF(AND(N197&lt;&gt;"",O197&lt;&gt;""),IF(N197&gt;O197,"Above","At/Below"),"N/A")</f>
        <v/>
      </c>
    </row>
    <row r="198">
      <c r="A198" s="6" t="inlineStr">
        <is>
          <t>TRD-000197</t>
        </is>
      </c>
      <c r="B198" s="6" t="inlineStr">
        <is>
          <t>2024-10-25</t>
        </is>
      </c>
      <c r="C198" s="6" t="inlineStr">
        <is>
          <t>2024-10-27</t>
        </is>
      </c>
      <c r="D198" s="6" t="inlineStr">
        <is>
          <t>Copper</t>
        </is>
      </c>
      <c r="E198" s="6" t="inlineStr">
        <is>
          <t>HG</t>
        </is>
      </c>
      <c r="F198" s="6" t="inlineStr">
        <is>
          <t>Base Metals</t>
        </is>
      </c>
      <c r="G198" s="6" t="inlineStr">
        <is>
          <t>BM-CLIENT-01</t>
        </is>
      </c>
      <c r="H198" s="6" t="inlineStr">
        <is>
          <t>T. Vasquez</t>
        </is>
      </c>
      <c r="I198" s="6" t="inlineStr">
        <is>
          <t>Barclays Metals</t>
        </is>
      </c>
      <c r="J198" s="6" t="inlineStr">
        <is>
          <t>Buy</t>
        </is>
      </c>
      <c r="K198" s="6" t="inlineStr">
        <is>
          <t>Spot</t>
        </is>
      </c>
      <c r="L198" s="7" t="n">
        <v>2125</v>
      </c>
      <c r="M198" s="6" t="inlineStr">
        <is>
          <t>lbs</t>
        </is>
      </c>
      <c r="N198" s="8" t="n">
        <v>4.0212</v>
      </c>
      <c r="O198" s="8" t="n">
        <v>4.0058</v>
      </c>
      <c r="P198" s="9" t="n">
        <v>8545.049999999999</v>
      </c>
      <c r="Q198" s="6" t="inlineStr">
        <is>
          <t>Pending</t>
        </is>
      </c>
      <c r="R198" s="6">
        <f>IFERROR(DATEVALUE(C198)-DATEVALUE(B198),"N/A")</f>
        <v/>
      </c>
      <c r="S198" s="6">
        <f>IF(AND(N198&lt;&gt;"",O198&lt;&gt;""),IF(N198&gt;O198,"Above","At/Below"),"N/A")</f>
        <v/>
      </c>
    </row>
    <row r="199">
      <c r="A199" s="10" t="inlineStr">
        <is>
          <t>TRD-000198</t>
        </is>
      </c>
      <c r="B199" s="10" t="inlineStr">
        <is>
          <t>2024-12-17</t>
        </is>
      </c>
      <c r="C199" s="10" t="inlineStr">
        <is>
          <t>2025-03-17</t>
        </is>
      </c>
      <c r="D199" s="10" t="inlineStr">
        <is>
          <t>Aluminium</t>
        </is>
      </c>
      <c r="E199" s="10" t="inlineStr">
        <is>
          <t>AL</t>
        </is>
      </c>
      <c r="F199" s="10" t="inlineStr">
        <is>
          <t>Base Metals</t>
        </is>
      </c>
      <c r="G199" s="10" t="inlineStr">
        <is>
          <t>BM-HEDGE-01</t>
        </is>
      </c>
      <c r="H199" s="10" t="inlineStr">
        <is>
          <t>S. Okonkwo</t>
        </is>
      </c>
      <c r="I199" s="10" t="inlineStr">
        <is>
          <t>Standard Chartered</t>
        </is>
      </c>
      <c r="J199" s="10" t="inlineStr">
        <is>
          <t>Sell</t>
        </is>
      </c>
      <c r="K199" s="10" t="inlineStr">
        <is>
          <t>Spot</t>
        </is>
      </c>
      <c r="L199" s="11" t="n">
        <v>3150</v>
      </c>
      <c r="M199" s="10" t="inlineStr">
        <is>
          <t>MT</t>
        </is>
      </c>
      <c r="N199" s="12" t="n">
        <v>2493.5727</v>
      </c>
      <c r="O199" s="12" t="n">
        <v>2484.7151</v>
      </c>
      <c r="P199" s="13" t="n">
        <v>7854754.01</v>
      </c>
      <c r="Q199" s="10" t="inlineStr">
        <is>
          <t>Pending</t>
        </is>
      </c>
      <c r="R199" s="10">
        <f>IFERROR(DATEVALUE(C199)-DATEVALUE(B199),"N/A")</f>
        <v/>
      </c>
      <c r="S199" s="10">
        <f>IF(AND(N199&lt;&gt;"",O199&lt;&gt;""),IF(N199&gt;O199,"Above","At/Below"),"N/A")</f>
        <v/>
      </c>
    </row>
    <row r="200">
      <c r="A200" s="6" t="inlineStr">
        <is>
          <t>TRD-000199</t>
        </is>
      </c>
      <c r="B200" s="6" t="inlineStr">
        <is>
          <t>2024-02-13</t>
        </is>
      </c>
      <c r="C200" s="6" t="inlineStr">
        <is>
          <t>2024-03-14</t>
        </is>
      </c>
      <c r="D200" s="6" t="inlineStr">
        <is>
          <t>Nickel</t>
        </is>
      </c>
      <c r="E200" s="6" t="inlineStr">
        <is>
          <t>NI</t>
        </is>
      </c>
      <c r="F200" s="6" t="inlineStr">
        <is>
          <t>Base Metals</t>
        </is>
      </c>
      <c r="G200" s="6" t="inlineStr">
        <is>
          <t>BM-PROP-01</t>
        </is>
      </c>
      <c r="H200" s="6" t="inlineStr">
        <is>
          <t>L. Chen</t>
        </is>
      </c>
      <c r="I200" s="6" t="inlineStr">
        <is>
          <t>HSBC Metals</t>
        </is>
      </c>
      <c r="J200" s="6" t="inlineStr">
        <is>
          <t>Buy</t>
        </is>
      </c>
      <c r="K200" s="6" t="inlineStr">
        <is>
          <t>Forward</t>
        </is>
      </c>
      <c r="L200" s="7" t="n">
        <v>500</v>
      </c>
      <c r="M200" s="6" t="inlineStr">
        <is>
          <t>MT</t>
        </is>
      </c>
      <c r="N200" s="8" t="n">
        <v>16698.9862</v>
      </c>
      <c r="O200" s="8" t="n">
        <v>16684.1916</v>
      </c>
      <c r="P200" s="9" t="n">
        <v>8349493.1</v>
      </c>
      <c r="Q200" s="6" t="inlineStr">
        <is>
          <t>Pending</t>
        </is>
      </c>
      <c r="R200" s="6">
        <f>IFERROR(DATEVALUE(C200)-DATEVALUE(B200),"N/A")</f>
        <v/>
      </c>
      <c r="S200" s="6">
        <f>IF(AND(N200&lt;&gt;"",O200&lt;&gt;""),IF(N200&gt;O200,"Above","At/Below"),"N/A")</f>
        <v/>
      </c>
    </row>
    <row r="201">
      <c r="A201" s="10" t="inlineStr">
        <is>
          <t>TRD-000200</t>
        </is>
      </c>
      <c r="B201" s="10" t="inlineStr">
        <is>
          <t>2024-12-27</t>
        </is>
      </c>
      <c r="C201" s="10" t="inlineStr">
        <is>
          <t>2025-01-01</t>
        </is>
      </c>
      <c r="D201" s="10" t="inlineStr">
        <is>
          <t>Gold</t>
        </is>
      </c>
      <c r="E201" s="10" t="inlineStr">
        <is>
          <t>XAU</t>
        </is>
      </c>
      <c r="F201" s="10" t="inlineStr">
        <is>
          <t>Precious Metals</t>
        </is>
      </c>
      <c r="G201" s="10" t="inlineStr">
        <is>
          <t>PM-PROP-01</t>
        </is>
      </c>
      <c r="H201" s="10" t="inlineStr">
        <is>
          <t>P. O'Brien</t>
        </is>
      </c>
      <c r="I201" s="10" t="inlineStr">
        <is>
          <t>Scotiabank</t>
        </is>
      </c>
      <c r="J201" s="10" t="inlineStr">
        <is>
          <t>Sell</t>
        </is>
      </c>
      <c r="K201" s="10" t="inlineStr">
        <is>
          <t>Forward</t>
        </is>
      </c>
      <c r="L201" s="11" t="n">
        <v>31700</v>
      </c>
      <c r="M201" s="10" t="inlineStr">
        <is>
          <t>troy oz</t>
        </is>
      </c>
      <c r="N201" s="12" t="n">
        <v>2315.8173</v>
      </c>
      <c r="O201" s="12" t="n">
        <v>2320.2022</v>
      </c>
      <c r="P201" s="13" t="n">
        <v>73411408.41</v>
      </c>
      <c r="Q201" s="10" t="inlineStr">
        <is>
          <t>Confirmed</t>
        </is>
      </c>
      <c r="R201" s="10">
        <f>IFERROR(DATEVALUE(C201)-DATEVALUE(B201),"N/A")</f>
        <v/>
      </c>
      <c r="S201" s="10">
        <f>IF(AND(N201&lt;&gt;"",O201&lt;&gt;""),IF(N201&gt;O201,"Above","At/Below"),"N/A")</f>
        <v/>
      </c>
    </row>
    <row r="202">
      <c r="A202" s="6" t="inlineStr">
        <is>
          <t>TRD-000201</t>
        </is>
      </c>
      <c r="B202" s="6" t="inlineStr">
        <is>
          <t>2024-07-24</t>
        </is>
      </c>
      <c r="C202" s="6" t="inlineStr">
        <is>
          <t>2024-07-26</t>
        </is>
      </c>
      <c r="D202" s="6" t="inlineStr">
        <is>
          <t>Copper</t>
        </is>
      </c>
      <c r="E202" s="6" t="inlineStr">
        <is>
          <t>HG</t>
        </is>
      </c>
      <c r="F202" s="6" t="inlineStr">
        <is>
          <t>Base Metals</t>
        </is>
      </c>
      <c r="G202" s="6" t="inlineStr">
        <is>
          <t>BM-CLIENT-01</t>
        </is>
      </c>
      <c r="H202" s="6" t="inlineStr">
        <is>
          <t>M. Patel</t>
        </is>
      </c>
      <c r="I202" s="6" t="inlineStr">
        <is>
          <t>HSBC Metals</t>
        </is>
      </c>
      <c r="J202" s="6" t="inlineStr">
        <is>
          <t>Sell</t>
        </is>
      </c>
      <c r="K202" s="6" t="inlineStr">
        <is>
          <t>Option</t>
        </is>
      </c>
      <c r="L202" s="7" t="n">
        <v>4475</v>
      </c>
      <c r="M202" s="6" t="inlineStr">
        <is>
          <t>lbs</t>
        </is>
      </c>
      <c r="N202" s="8" t="n">
        <v>4.169</v>
      </c>
      <c r="O202" s="8" t="n">
        <v>4.1509</v>
      </c>
      <c r="P202" s="9" t="n">
        <v>18656.27</v>
      </c>
      <c r="Q202" s="6" t="inlineStr">
        <is>
          <t>Confirmed</t>
        </is>
      </c>
      <c r="R202" s="6">
        <f>IFERROR(DATEVALUE(C202)-DATEVALUE(B202),"N/A")</f>
        <v/>
      </c>
      <c r="S202" s="6">
        <f>IF(AND(N202&lt;&gt;"",O202&lt;&gt;""),IF(N202&gt;O202,"Above","At/Below"),"N/A")</f>
        <v/>
      </c>
    </row>
    <row r="203">
      <c r="A203" s="10" t="inlineStr">
        <is>
          <t>TRD-000202</t>
        </is>
      </c>
      <c r="B203" s="10" t="inlineStr">
        <is>
          <t>2024-07-01</t>
        </is>
      </c>
      <c r="C203" s="10" t="inlineStr">
        <is>
          <t>2024-07-03</t>
        </is>
      </c>
      <c r="D203" s="10" t="inlineStr">
        <is>
          <t>Palladium</t>
        </is>
      </c>
      <c r="E203" s="10" t="inlineStr">
        <is>
          <t>XPD</t>
        </is>
      </c>
      <c r="F203" s="10" t="inlineStr">
        <is>
          <t>Precious Metals</t>
        </is>
      </c>
      <c r="G203" s="10" t="inlineStr">
        <is>
          <t>PM-PROP-01</t>
        </is>
      </c>
      <c r="H203" s="10" t="inlineStr">
        <is>
          <t>L. Chen</t>
        </is>
      </c>
      <c r="I203" s="10" t="inlineStr">
        <is>
          <t>BNP Paribas</t>
        </is>
      </c>
      <c r="J203" s="10" t="inlineStr">
        <is>
          <t>Buy</t>
        </is>
      </c>
      <c r="K203" s="10" t="inlineStr">
        <is>
          <t>Spot</t>
        </is>
      </c>
      <c r="L203" s="11" t="n">
        <v>20400</v>
      </c>
      <c r="M203" s="10" t="inlineStr">
        <is>
          <t>troy oz</t>
        </is>
      </c>
      <c r="N203" s="12" t="n">
        <v>1026.4328</v>
      </c>
      <c r="O203" s="12" t="n">
        <v>1025.5691</v>
      </c>
      <c r="P203" s="13" t="n">
        <v>20939229.12</v>
      </c>
      <c r="Q203" s="10" t="inlineStr">
        <is>
          <t>Confirmed</t>
        </is>
      </c>
      <c r="R203" s="10">
        <f>IFERROR(DATEVALUE(C203)-DATEVALUE(B203),"N/A")</f>
        <v/>
      </c>
      <c r="S203" s="10">
        <f>IF(AND(N203&lt;&gt;"",O203&lt;&gt;""),IF(N203&gt;O203,"Above","At/Below"),"N/A")</f>
        <v/>
      </c>
    </row>
    <row r="204">
      <c r="A204" s="6" t="inlineStr">
        <is>
          <t>TRD-000203</t>
        </is>
      </c>
      <c r="B204" s="6" t="inlineStr">
        <is>
          <t>2024-01-24</t>
        </is>
      </c>
      <c r="C204" s="6" t="inlineStr">
        <is>
          <t>2024-01-26</t>
        </is>
      </c>
      <c r="D204" s="6" t="inlineStr">
        <is>
          <t>Silver</t>
        </is>
      </c>
      <c r="E204" s="6" t="inlineStr">
        <is>
          <t>XAG</t>
        </is>
      </c>
      <c r="F204" s="6" t="inlineStr">
        <is>
          <t>Precious Metals</t>
        </is>
      </c>
      <c r="G204" s="6" t="inlineStr">
        <is>
          <t>PM-CLIENT-01</t>
        </is>
      </c>
      <c r="H204" s="6" t="inlineStr">
        <is>
          <t>S. Okonkwo</t>
        </is>
      </c>
      <c r="I204" s="6" t="inlineStr">
        <is>
          <t>HSBC Metals</t>
        </is>
      </c>
      <c r="J204" s="6" t="inlineStr">
        <is>
          <t>Sell</t>
        </is>
      </c>
      <c r="K204" s="6" t="inlineStr">
        <is>
          <t>Spot</t>
        </is>
      </c>
      <c r="L204" s="7" t="n">
        <v>19400</v>
      </c>
      <c r="M204" s="6" t="inlineStr">
        <is>
          <t>troy oz</t>
        </is>
      </c>
      <c r="N204" s="8" t="n">
        <v>28.1754</v>
      </c>
      <c r="O204" s="8" t="n">
        <v>28.23</v>
      </c>
      <c r="P204" s="9" t="n">
        <v>546602.76</v>
      </c>
      <c r="Q204" s="6" t="inlineStr">
        <is>
          <t>Confirmed</t>
        </is>
      </c>
      <c r="R204" s="6">
        <f>IFERROR(DATEVALUE(C204)-DATEVALUE(B204),"N/A")</f>
        <v/>
      </c>
      <c r="S204" s="6">
        <f>IF(AND(N204&lt;&gt;"",O204&lt;&gt;""),IF(N204&gt;O204,"Above","At/Below"),"N/A")</f>
        <v/>
      </c>
    </row>
    <row r="205">
      <c r="A205" s="10" t="inlineStr">
        <is>
          <t>TRD-000204</t>
        </is>
      </c>
      <c r="B205" s="10" t="inlineStr">
        <is>
          <t>2024-08-26</t>
        </is>
      </c>
      <c r="C205" s="10" t="inlineStr">
        <is>
          <t>2024-09-25</t>
        </is>
      </c>
      <c r="D205" s="10" t="inlineStr">
        <is>
          <t>Zinc</t>
        </is>
      </c>
      <c r="E205" s="10" t="inlineStr">
        <is>
          <t>ZN</t>
        </is>
      </c>
      <c r="F205" s="10" t="inlineStr">
        <is>
          <t>Base Metals</t>
        </is>
      </c>
      <c r="G205" s="10" t="inlineStr">
        <is>
          <t>BM-CLIENT-01</t>
        </is>
      </c>
      <c r="H205" s="10" t="inlineStr">
        <is>
          <t>T. Vasquez</t>
        </is>
      </c>
      <c r="I205" s="10" t="inlineStr">
        <is>
          <t>JPMorgan Commodities</t>
        </is>
      </c>
      <c r="J205" s="10" t="inlineStr">
        <is>
          <t>Buy</t>
        </is>
      </c>
      <c r="K205" s="10" t="inlineStr">
        <is>
          <t>Spot</t>
        </is>
      </c>
      <c r="L205" s="11" t="n">
        <v>625</v>
      </c>
      <c r="M205" s="10" t="inlineStr">
        <is>
          <t>MT</t>
        </is>
      </c>
      <c r="N205" s="12" t="n">
        <v>2946.293</v>
      </c>
      <c r="O205" s="12" t="n">
        <v>2933.6522</v>
      </c>
      <c r="P205" s="13" t="n">
        <v>1841433.12</v>
      </c>
      <c r="Q205" s="10" t="inlineStr">
        <is>
          <t>Confirmed</t>
        </is>
      </c>
      <c r="R205" s="10">
        <f>IFERROR(DATEVALUE(C205)-DATEVALUE(B205),"N/A")</f>
        <v/>
      </c>
      <c r="S205" s="10">
        <f>IF(AND(N205&lt;&gt;"",O205&lt;&gt;""),IF(N205&gt;O205,"Above","At/Below"),"N/A")</f>
        <v/>
      </c>
    </row>
    <row r="206">
      <c r="A206" s="6" t="inlineStr">
        <is>
          <t>TRD-000205</t>
        </is>
      </c>
      <c r="B206" s="6" t="inlineStr">
        <is>
          <t>2024-07-19</t>
        </is>
      </c>
      <c r="C206" s="6" t="inlineStr">
        <is>
          <t>2024-08-18</t>
        </is>
      </c>
      <c r="D206" s="6" t="inlineStr">
        <is>
          <t>Silver</t>
        </is>
      </c>
      <c r="E206" s="6" t="inlineStr">
        <is>
          <t>XAG</t>
        </is>
      </c>
      <c r="F206" s="6" t="inlineStr">
        <is>
          <t>Precious Metals</t>
        </is>
      </c>
      <c r="G206" s="6" t="inlineStr">
        <is>
          <t>PM-CLIENT-01</t>
        </is>
      </c>
      <c r="H206" s="6" t="inlineStr">
        <is>
          <t>L. Chen</t>
        </is>
      </c>
      <c r="I206" s="6" t="inlineStr">
        <is>
          <t>Goldman Sachs</t>
        </is>
      </c>
      <c r="J206" s="6" t="inlineStr">
        <is>
          <t>Buy</t>
        </is>
      </c>
      <c r="K206" s="6" t="inlineStr">
        <is>
          <t>Swap</t>
        </is>
      </c>
      <c r="L206" s="7" t="n">
        <v>1700</v>
      </c>
      <c r="M206" s="6" t="inlineStr">
        <is>
          <t>troy oz</t>
        </is>
      </c>
      <c r="N206" s="8" t="n">
        <v>28.6868</v>
      </c>
      <c r="O206" s="8" t="n">
        <v>28.681</v>
      </c>
      <c r="P206" s="9" t="n">
        <v>48767.56</v>
      </c>
      <c r="Q206" s="6" t="inlineStr">
        <is>
          <t>Confirmed</t>
        </is>
      </c>
      <c r="R206" s="6">
        <f>IFERROR(DATEVALUE(C206)-DATEVALUE(B206),"N/A")</f>
        <v/>
      </c>
      <c r="S206" s="6">
        <f>IF(AND(N206&lt;&gt;"",O206&lt;&gt;""),IF(N206&gt;O206,"Above","At/Below"),"N/A")</f>
        <v/>
      </c>
    </row>
    <row r="207">
      <c r="A207" s="10" t="inlineStr">
        <is>
          <t>TRD-000206</t>
        </is>
      </c>
      <c r="B207" s="10" t="inlineStr">
        <is>
          <t>2024-08-02</t>
        </is>
      </c>
      <c r="C207" s="10" t="inlineStr">
        <is>
          <t>2024-08-04</t>
        </is>
      </c>
      <c r="D207" s="10" t="inlineStr">
        <is>
          <t>Zinc</t>
        </is>
      </c>
      <c r="E207" s="10" t="inlineStr">
        <is>
          <t>ZN</t>
        </is>
      </c>
      <c r="F207" s="10" t="inlineStr">
        <is>
          <t>Base Metals</t>
        </is>
      </c>
      <c r="G207" s="10" t="inlineStr">
        <is>
          <t>BM-PROP-01</t>
        </is>
      </c>
      <c r="H207" s="10" t="inlineStr">
        <is>
          <t>P. O'Brien</t>
        </is>
      </c>
      <c r="I207" s="10" t="inlineStr">
        <is>
          <t>BNP Paribas</t>
        </is>
      </c>
      <c r="J207" s="10" t="inlineStr">
        <is>
          <t>Sell</t>
        </is>
      </c>
      <c r="K207" s="10" t="inlineStr">
        <is>
          <t>Forward</t>
        </is>
      </c>
      <c r="L207" s="11" t="n">
        <v>3650</v>
      </c>
      <c r="M207" s="10" t="inlineStr">
        <is>
          <t>MT</t>
        </is>
      </c>
      <c r="N207" s="12" t="n">
        <v>2822.9353</v>
      </c>
      <c r="O207" s="12" t="n">
        <v>2817.9083</v>
      </c>
      <c r="P207" s="13" t="n">
        <v>10303713.85</v>
      </c>
      <c r="Q207" s="10" t="inlineStr">
        <is>
          <t>Confirmed</t>
        </is>
      </c>
      <c r="R207" s="10">
        <f>IFERROR(DATEVALUE(C207)-DATEVALUE(B207),"N/A")</f>
        <v/>
      </c>
      <c r="S207" s="10">
        <f>IF(AND(N207&lt;&gt;"",O207&lt;&gt;""),IF(N207&gt;O207,"Above","At/Below"),"N/A")</f>
        <v/>
      </c>
    </row>
    <row r="208">
      <c r="A208" s="6" t="inlineStr">
        <is>
          <t>TRD-000207</t>
        </is>
      </c>
      <c r="B208" s="6" t="inlineStr">
        <is>
          <t>2024-09-05</t>
        </is>
      </c>
      <c r="C208" s="6" t="inlineStr">
        <is>
          <t>2024-09-07</t>
        </is>
      </c>
      <c r="D208" s="6" t="inlineStr">
        <is>
          <t>Silver</t>
        </is>
      </c>
      <c r="E208" s="6" t="inlineStr">
        <is>
          <t>XAG</t>
        </is>
      </c>
      <c r="F208" s="6" t="inlineStr">
        <is>
          <t>Precious Metals</t>
        </is>
      </c>
      <c r="G208" s="6" t="inlineStr">
        <is>
          <t>PM-CLIENT-01</t>
        </is>
      </c>
      <c r="H208" s="6" t="inlineStr">
        <is>
          <t>P. O'Brien</t>
        </is>
      </c>
      <c r="I208" s="6" t="inlineStr">
        <is>
          <t>UBS AG</t>
        </is>
      </c>
      <c r="J208" s="6" t="inlineStr">
        <is>
          <t>Buy</t>
        </is>
      </c>
      <c r="K208" s="6" t="inlineStr">
        <is>
          <t>Spot</t>
        </is>
      </c>
      <c r="L208" s="7" t="n">
        <v>11900</v>
      </c>
      <c r="M208" s="6" t="inlineStr">
        <is>
          <t>troy oz</t>
        </is>
      </c>
      <c r="N208" s="8" t="n">
        <v>27.4459</v>
      </c>
      <c r="O208" s="8" t="n">
        <v>27.3534</v>
      </c>
      <c r="P208" s="9" t="n">
        <v>326606.21</v>
      </c>
      <c r="Q208" s="6" t="inlineStr">
        <is>
          <t>Confirmed</t>
        </is>
      </c>
      <c r="R208" s="6">
        <f>IFERROR(DATEVALUE(C208)-DATEVALUE(B208),"N/A")</f>
        <v/>
      </c>
      <c r="S208" s="6">
        <f>IF(AND(N208&lt;&gt;"",O208&lt;&gt;""),IF(N208&gt;O208,"Above","At/Below"),"N/A")</f>
        <v/>
      </c>
    </row>
    <row r="209">
      <c r="A209" s="10" t="inlineStr">
        <is>
          <t>TRD-000208</t>
        </is>
      </c>
      <c r="B209" s="10" t="inlineStr">
        <is>
          <t>2024-12-18</t>
        </is>
      </c>
      <c r="C209" s="10" t="inlineStr">
        <is>
          <t>2024-12-20</t>
        </is>
      </c>
      <c r="D209" s="10" t="inlineStr">
        <is>
          <t>Copper</t>
        </is>
      </c>
      <c r="E209" s="10" t="inlineStr">
        <is>
          <t>HG</t>
        </is>
      </c>
      <c r="F209" s="10" t="inlineStr">
        <is>
          <t>Base Metals</t>
        </is>
      </c>
      <c r="G209" s="10" t="inlineStr">
        <is>
          <t>BM-HEDGE-01</t>
        </is>
      </c>
      <c r="H209" s="10" t="inlineStr">
        <is>
          <t>P. O'Brien</t>
        </is>
      </c>
      <c r="I209" s="10" t="inlineStr">
        <is>
          <t>HSBC Metals</t>
        </is>
      </c>
      <c r="J209" s="10" t="inlineStr">
        <is>
          <t>Sell</t>
        </is>
      </c>
      <c r="K209" s="10" t="inlineStr">
        <is>
          <t>Spot</t>
        </is>
      </c>
      <c r="L209" s="11" t="n">
        <v>2425</v>
      </c>
      <c r="M209" s="10" t="inlineStr">
        <is>
          <t>lbs</t>
        </is>
      </c>
      <c r="N209" s="12" t="n">
        <v>4.0988</v>
      </c>
      <c r="O209" s="12" t="n">
        <v>4.0902</v>
      </c>
      <c r="P209" s="13" t="n">
        <v>9939.59</v>
      </c>
      <c r="Q209" s="10" t="inlineStr">
        <is>
          <t>Settled</t>
        </is>
      </c>
      <c r="R209" s="10">
        <f>IFERROR(DATEVALUE(C209)-DATEVALUE(B209),"N/A")</f>
        <v/>
      </c>
      <c r="S209" s="10">
        <f>IF(AND(N209&lt;&gt;"",O209&lt;&gt;""),IF(N209&gt;O209,"Above","At/Below"),"N/A")</f>
        <v/>
      </c>
    </row>
    <row r="210">
      <c r="A210" s="6" t="inlineStr">
        <is>
          <t>TRD-000209</t>
        </is>
      </c>
      <c r="B210" s="6" t="inlineStr">
        <is>
          <t>2024-02-22</t>
        </is>
      </c>
      <c r="C210" s="6" t="inlineStr">
        <is>
          <t>2024-02-24</t>
        </is>
      </c>
      <c r="D210" s="6" t="inlineStr">
        <is>
          <t>Copper</t>
        </is>
      </c>
      <c r="E210" s="6" t="inlineStr">
        <is>
          <t>HG</t>
        </is>
      </c>
      <c r="F210" s="6" t="inlineStr">
        <is>
          <t>Base Metals</t>
        </is>
      </c>
      <c r="G210" s="6" t="inlineStr">
        <is>
          <t>BM-PROP-01</t>
        </is>
      </c>
      <c r="H210" s="6" t="inlineStr">
        <is>
          <t>M. Patel</t>
        </is>
      </c>
      <c r="I210" s="6" t="inlineStr">
        <is>
          <t>HSBC Metals</t>
        </is>
      </c>
      <c r="J210" s="6" t="inlineStr">
        <is>
          <t>Buy</t>
        </is>
      </c>
      <c r="K210" s="6" t="inlineStr">
        <is>
          <t>Forward</t>
        </is>
      </c>
      <c r="L210" s="7" t="n">
        <v>2450</v>
      </c>
      <c r="M210" s="6" t="inlineStr">
        <is>
          <t>lbs</t>
        </is>
      </c>
      <c r="N210" s="8" t="n">
        <v>4.0546</v>
      </c>
      <c r="O210" s="8" t="n">
        <v>4.0537</v>
      </c>
      <c r="P210" s="9" t="n">
        <v>9933.77</v>
      </c>
      <c r="Q210" s="6" t="inlineStr">
        <is>
          <t>Confirmed</t>
        </is>
      </c>
      <c r="R210" s="6">
        <f>IFERROR(DATEVALUE(C210)-DATEVALUE(B210),"N/A")</f>
        <v/>
      </c>
      <c r="S210" s="6">
        <f>IF(AND(N210&lt;&gt;"",O210&lt;&gt;""),IF(N210&gt;O210,"Above","At/Below"),"N/A")</f>
        <v/>
      </c>
    </row>
    <row r="211">
      <c r="A211" s="10" t="inlineStr">
        <is>
          <t>TRD-000210</t>
        </is>
      </c>
      <c r="B211" s="10" t="inlineStr">
        <is>
          <t>2024-09-16</t>
        </is>
      </c>
      <c r="C211" s="10" t="inlineStr">
        <is>
          <t>2024-09-18</t>
        </is>
      </c>
      <c r="D211" s="10" t="inlineStr">
        <is>
          <t>Copper</t>
        </is>
      </c>
      <c r="E211" s="10" t="inlineStr">
        <is>
          <t>HG</t>
        </is>
      </c>
      <c r="F211" s="10" t="inlineStr">
        <is>
          <t>Base Metals</t>
        </is>
      </c>
      <c r="G211" s="10" t="inlineStr">
        <is>
          <t>BM-HEDGE-01</t>
        </is>
      </c>
      <c r="H211" s="10" t="inlineStr">
        <is>
          <t>P. O'Brien</t>
        </is>
      </c>
      <c r="I211" s="10" t="inlineStr">
        <is>
          <t>HSBC Metals</t>
        </is>
      </c>
      <c r="J211" s="10" t="inlineStr">
        <is>
          <t>Buy</t>
        </is>
      </c>
      <c r="K211" s="10" t="inlineStr">
        <is>
          <t>Spot</t>
        </is>
      </c>
      <c r="L211" s="11" t="n">
        <v>575</v>
      </c>
      <c r="M211" s="10" t="inlineStr">
        <is>
          <t>lbs</t>
        </is>
      </c>
      <c r="N211" s="12" t="n">
        <v>3.9925</v>
      </c>
      <c r="O211" s="12" t="n">
        <v>3.9849</v>
      </c>
      <c r="P211" s="13" t="n">
        <v>2295.69</v>
      </c>
      <c r="Q211" s="10" t="inlineStr">
        <is>
          <t>Confirmed</t>
        </is>
      </c>
      <c r="R211" s="10">
        <f>IFERROR(DATEVALUE(C211)-DATEVALUE(B211),"N/A")</f>
        <v/>
      </c>
      <c r="S211" s="10">
        <f>IF(AND(N211&lt;&gt;"",O211&lt;&gt;""),IF(N211&gt;O211,"Above","At/Below"),"N/A")</f>
        <v/>
      </c>
    </row>
    <row r="212">
      <c r="A212" s="6" t="inlineStr">
        <is>
          <t>TRD-000211</t>
        </is>
      </c>
      <c r="B212" s="6" t="inlineStr">
        <is>
          <t>2024-03-07</t>
        </is>
      </c>
      <c r="C212" s="6" t="inlineStr">
        <is>
          <t>2024-04-06</t>
        </is>
      </c>
      <c r="D212" s="6" t="inlineStr">
        <is>
          <t>Aluminium</t>
        </is>
      </c>
      <c r="E212" s="6" t="inlineStr">
        <is>
          <t>AL</t>
        </is>
      </c>
      <c r="F212" s="6" t="inlineStr">
        <is>
          <t>Base Metals</t>
        </is>
      </c>
      <c r="G212" s="6" t="inlineStr">
        <is>
          <t>BM-CLIENT-01</t>
        </is>
      </c>
      <c r="H212" s="6" t="inlineStr">
        <is>
          <t>M. Patel</t>
        </is>
      </c>
      <c r="I212" s="6" t="inlineStr">
        <is>
          <t>BNP Paribas</t>
        </is>
      </c>
      <c r="J212" s="6" t="inlineStr">
        <is>
          <t>Sell</t>
        </is>
      </c>
      <c r="K212" s="6" t="inlineStr">
        <is>
          <t>Spot</t>
        </is>
      </c>
      <c r="L212" s="7" t="n">
        <v>2100</v>
      </c>
      <c r="M212" s="6" t="inlineStr">
        <is>
          <t>MT</t>
        </is>
      </c>
      <c r="N212" s="8" t="n">
        <v>2476.2391</v>
      </c>
      <c r="O212" s="8" t="n">
        <v>2474.0207</v>
      </c>
      <c r="P212" s="9" t="n">
        <v>5200102.11</v>
      </c>
      <c r="Q212" s="6" t="inlineStr">
        <is>
          <t>Settled</t>
        </is>
      </c>
      <c r="R212" s="6">
        <f>IFERROR(DATEVALUE(C212)-DATEVALUE(B212),"N/A")</f>
        <v/>
      </c>
      <c r="S212" s="6">
        <f>IF(AND(N212&lt;&gt;"",O212&lt;&gt;""),IF(N212&gt;O212,"Above","At/Below"),"N/A")</f>
        <v/>
      </c>
    </row>
    <row r="213">
      <c r="A213" s="10" t="inlineStr">
        <is>
          <t>TRD-000212</t>
        </is>
      </c>
      <c r="B213" s="10" t="inlineStr">
        <is>
          <t>2024-05-01</t>
        </is>
      </c>
      <c r="C213" s="10" t="inlineStr">
        <is>
          <t>2024-07-30</t>
        </is>
      </c>
      <c r="D213" s="10" t="inlineStr">
        <is>
          <t>Palladium</t>
        </is>
      </c>
      <c r="E213" s="10" t="inlineStr">
        <is>
          <t>XPD</t>
        </is>
      </c>
      <c r="F213" s="10" t="inlineStr">
        <is>
          <t>Precious Metals</t>
        </is>
      </c>
      <c r="G213" s="10" t="inlineStr">
        <is>
          <t>PM-CLIENT-01</t>
        </is>
      </c>
      <c r="H213" s="10" t="inlineStr">
        <is>
          <t>M. Patel</t>
        </is>
      </c>
      <c r="I213" s="10" t="inlineStr">
        <is>
          <t>Standard Chartered</t>
        </is>
      </c>
      <c r="J213" s="10" t="inlineStr">
        <is>
          <t>Sell</t>
        </is>
      </c>
      <c r="K213" s="10" t="inlineStr">
        <is>
          <t>Spot</t>
        </is>
      </c>
      <c r="L213" s="11" t="n">
        <v>7200</v>
      </c>
      <c r="M213" s="10" t="inlineStr">
        <is>
          <t>troy oz</t>
        </is>
      </c>
      <c r="N213" s="12" t="n">
        <v>1038.9832</v>
      </c>
      <c r="O213" s="12" t="n">
        <v>1037.4769</v>
      </c>
      <c r="P213" s="13" t="n">
        <v>7480679.04</v>
      </c>
      <c r="Q213" s="10" t="inlineStr">
        <is>
          <t>Confirmed</t>
        </is>
      </c>
      <c r="R213" s="10">
        <f>IFERROR(DATEVALUE(C213)-DATEVALUE(B213),"N/A")</f>
        <v/>
      </c>
      <c r="S213" s="10">
        <f>IF(AND(N213&lt;&gt;"",O213&lt;&gt;""),IF(N213&gt;O213,"Above","At/Below"),"N/A")</f>
        <v/>
      </c>
    </row>
    <row r="214">
      <c r="A214" s="6" t="inlineStr">
        <is>
          <t>TRD-000213</t>
        </is>
      </c>
      <c r="B214" s="6" t="inlineStr">
        <is>
          <t>2024-12-12</t>
        </is>
      </c>
      <c r="C214" s="6" t="inlineStr">
        <is>
          <t>2024-12-14</t>
        </is>
      </c>
      <c r="D214" s="6" t="inlineStr">
        <is>
          <t>Zinc</t>
        </is>
      </c>
      <c r="E214" s="6" t="inlineStr">
        <is>
          <t>ZN</t>
        </is>
      </c>
      <c r="F214" s="6" t="inlineStr">
        <is>
          <t>Base Metals</t>
        </is>
      </c>
      <c r="G214" s="6" t="inlineStr">
        <is>
          <t>BM-HEDGE-01</t>
        </is>
      </c>
      <c r="H214" s="6" t="inlineStr">
        <is>
          <t>M. Patel</t>
        </is>
      </c>
      <c r="I214" s="6" t="inlineStr">
        <is>
          <t>Standard Chartered</t>
        </is>
      </c>
      <c r="J214" s="6" t="inlineStr">
        <is>
          <t>Sell</t>
        </is>
      </c>
      <c r="K214" s="6" t="inlineStr">
        <is>
          <t>Forward</t>
        </is>
      </c>
      <c r="L214" s="7" t="n">
        <v>1600</v>
      </c>
      <c r="M214" s="6" t="inlineStr">
        <is>
          <t>MT</t>
        </is>
      </c>
      <c r="N214" s="8" t="n">
        <v>2759.3723</v>
      </c>
      <c r="O214" s="8" t="n">
        <v>2761.115</v>
      </c>
      <c r="P214" s="9" t="n">
        <v>4414995.68</v>
      </c>
      <c r="Q214" s="6" t="inlineStr">
        <is>
          <t>Confirmed</t>
        </is>
      </c>
      <c r="R214" s="6">
        <f>IFERROR(DATEVALUE(C214)-DATEVALUE(B214),"N/A")</f>
        <v/>
      </c>
      <c r="S214" s="6">
        <f>IF(AND(N214&lt;&gt;"",O214&lt;&gt;""),IF(N214&gt;O214,"Above","At/Below"),"N/A")</f>
        <v/>
      </c>
    </row>
    <row r="215">
      <c r="A215" s="10" t="inlineStr">
        <is>
          <t>TRD-000214</t>
        </is>
      </c>
      <c r="B215" s="10" t="inlineStr">
        <is>
          <t>2024-09-30</t>
        </is>
      </c>
      <c r="C215" s="10" t="inlineStr">
        <is>
          <t>2024-10-02</t>
        </is>
      </c>
      <c r="D215" s="10" t="inlineStr">
        <is>
          <t>Zinc</t>
        </is>
      </c>
      <c r="E215" s="10" t="inlineStr">
        <is>
          <t>ZN</t>
        </is>
      </c>
      <c r="F215" s="10" t="inlineStr">
        <is>
          <t>Base Metals</t>
        </is>
      </c>
      <c r="G215" s="10" t="inlineStr">
        <is>
          <t>BM-HEDGE-01</t>
        </is>
      </c>
      <c r="H215" s="10" t="inlineStr">
        <is>
          <t>L. Chen</t>
        </is>
      </c>
      <c r="I215" s="10" t="inlineStr">
        <is>
          <t>TD Securities</t>
        </is>
      </c>
      <c r="J215" s="10" t="inlineStr">
        <is>
          <t>Buy</t>
        </is>
      </c>
      <c r="K215" s="10" t="inlineStr">
        <is>
          <t>Spot</t>
        </is>
      </c>
      <c r="L215" s="11" t="n">
        <v>2775</v>
      </c>
      <c r="M215" s="10" t="inlineStr">
        <is>
          <t>MT</t>
        </is>
      </c>
      <c r="N215" s="12" t="n">
        <v>2789.4481</v>
      </c>
      <c r="O215" s="12" t="n">
        <v>2783.2624</v>
      </c>
      <c r="P215" s="13" t="n">
        <v>7740718.48</v>
      </c>
      <c r="Q215" s="10" t="inlineStr">
        <is>
          <t>Confirmed</t>
        </is>
      </c>
      <c r="R215" s="10">
        <f>IFERROR(DATEVALUE(C215)-DATEVALUE(B215),"N/A")</f>
        <v/>
      </c>
      <c r="S215" s="10">
        <f>IF(AND(N215&lt;&gt;"",O215&lt;&gt;""),IF(N215&gt;O215,"Above","At/Below"),"N/A")</f>
        <v/>
      </c>
    </row>
    <row r="216">
      <c r="A216" s="6" t="inlineStr">
        <is>
          <t>TRD-000215</t>
        </is>
      </c>
      <c r="B216" s="6" t="inlineStr">
        <is>
          <t>2024-07-29</t>
        </is>
      </c>
      <c r="C216" s="6" t="inlineStr">
        <is>
          <t>2024-10-27</t>
        </is>
      </c>
      <c r="D216" s="6" t="inlineStr">
        <is>
          <t>Zinc</t>
        </is>
      </c>
      <c r="E216" s="6" t="inlineStr">
        <is>
          <t>ZN</t>
        </is>
      </c>
      <c r="F216" s="6" t="inlineStr">
        <is>
          <t>Base Metals</t>
        </is>
      </c>
      <c r="G216" s="6" t="inlineStr">
        <is>
          <t>BM-HEDGE-01</t>
        </is>
      </c>
      <c r="H216" s="6" t="inlineStr">
        <is>
          <t>P. O'Brien</t>
        </is>
      </c>
      <c r="I216" s="6" t="inlineStr">
        <is>
          <t>UBS AG</t>
        </is>
      </c>
      <c r="J216" s="6" t="inlineStr">
        <is>
          <t>Buy</t>
        </is>
      </c>
      <c r="K216" s="6" t="inlineStr">
        <is>
          <t>Spot</t>
        </is>
      </c>
      <c r="L216" s="7" t="n">
        <v>3150</v>
      </c>
      <c r="M216" s="6" t="inlineStr">
        <is>
          <t>MT</t>
        </is>
      </c>
      <c r="N216" s="8" t="n">
        <v>2854.48</v>
      </c>
      <c r="O216" s="8" t="n">
        <v>2854.5882</v>
      </c>
      <c r="P216" s="9" t="n">
        <v>8991612</v>
      </c>
      <c r="Q216" s="6" t="inlineStr">
        <is>
          <t>Confirmed</t>
        </is>
      </c>
      <c r="R216" s="6">
        <f>IFERROR(DATEVALUE(C216)-DATEVALUE(B216),"N/A")</f>
        <v/>
      </c>
      <c r="S216" s="6">
        <f>IF(AND(N216&lt;&gt;"",O216&lt;&gt;""),IF(N216&gt;O216,"Above","At/Below"),"N/A")</f>
        <v/>
      </c>
    </row>
    <row r="217">
      <c r="A217" s="10" t="inlineStr">
        <is>
          <t>TRD-000216</t>
        </is>
      </c>
      <c r="B217" s="10" t="inlineStr">
        <is>
          <t>2024-05-09</t>
        </is>
      </c>
      <c r="C217" s="10" t="inlineStr">
        <is>
          <t>2024-08-07</t>
        </is>
      </c>
      <c r="D217" s="10" t="inlineStr">
        <is>
          <t>Palladium</t>
        </is>
      </c>
      <c r="E217" s="10" t="inlineStr">
        <is>
          <t>XPD</t>
        </is>
      </c>
      <c r="F217" s="10" t="inlineStr">
        <is>
          <t>Precious Metals</t>
        </is>
      </c>
      <c r="G217" s="10" t="inlineStr">
        <is>
          <t>PM-CLIENT-01</t>
        </is>
      </c>
      <c r="H217" s="10" t="inlineStr">
        <is>
          <t>A. Dubois</t>
        </is>
      </c>
      <c r="I217" s="10" t="inlineStr">
        <is>
          <t>BNP Paribas</t>
        </is>
      </c>
      <c r="J217" s="10" t="inlineStr">
        <is>
          <t>Sell</t>
        </is>
      </c>
      <c r="K217" s="10" t="inlineStr">
        <is>
          <t>Swap</t>
        </is>
      </c>
      <c r="L217" s="11" t="n">
        <v>1400</v>
      </c>
      <c r="M217" s="10" t="inlineStr">
        <is>
          <t>troy oz</t>
        </is>
      </c>
      <c r="N217" s="12" t="n">
        <v>1077.5259</v>
      </c>
      <c r="O217" s="12" t="n">
        <v>1078.0999</v>
      </c>
      <c r="P217" s="13" t="n">
        <v>1508536.26</v>
      </c>
      <c r="Q217" s="10" t="inlineStr">
        <is>
          <t>Confirmed</t>
        </is>
      </c>
      <c r="R217" s="10">
        <f>IFERROR(DATEVALUE(C217)-DATEVALUE(B217),"N/A")</f>
        <v/>
      </c>
      <c r="S217" s="10">
        <f>IF(AND(N217&lt;&gt;"",O217&lt;&gt;""),IF(N217&gt;O217,"Above","At/Below"),"N/A")</f>
        <v/>
      </c>
    </row>
    <row r="218">
      <c r="A218" s="6" t="inlineStr">
        <is>
          <t>TRD-000217</t>
        </is>
      </c>
      <c r="B218" s="6" t="inlineStr">
        <is>
          <t>2024-12-24</t>
        </is>
      </c>
      <c r="C218" s="6" t="inlineStr">
        <is>
          <t>2024-12-26</t>
        </is>
      </c>
      <c r="D218" s="6" t="inlineStr">
        <is>
          <t>Zinc</t>
        </is>
      </c>
      <c r="E218" s="6" t="inlineStr">
        <is>
          <t>ZN</t>
        </is>
      </c>
      <c r="F218" s="6" t="inlineStr">
        <is>
          <t>Base Metals</t>
        </is>
      </c>
      <c r="G218" s="6" t="inlineStr">
        <is>
          <t>BM-CLIENT-01</t>
        </is>
      </c>
      <c r="H218" s="6" t="inlineStr">
        <is>
          <t>P. O'Brien</t>
        </is>
      </c>
      <c r="I218" s="6" t="inlineStr">
        <is>
          <t>HSBC Metals</t>
        </is>
      </c>
      <c r="J218" s="6" t="inlineStr">
        <is>
          <t>Sell</t>
        </is>
      </c>
      <c r="K218" s="6" t="inlineStr">
        <is>
          <t>Forward</t>
        </is>
      </c>
      <c r="L218" s="7" t="n">
        <v>1550</v>
      </c>
      <c r="M218" s="6" t="inlineStr">
        <is>
          <t>MT</t>
        </is>
      </c>
      <c r="N218" s="8" t="n">
        <v>2845.865</v>
      </c>
      <c r="O218" s="8" t="n">
        <v>2837.3341</v>
      </c>
      <c r="P218" s="9" t="n">
        <v>4411090.75</v>
      </c>
      <c r="Q218" s="6" t="inlineStr">
        <is>
          <t>Confirmed</t>
        </is>
      </c>
      <c r="R218" s="6">
        <f>IFERROR(DATEVALUE(C218)-DATEVALUE(B218),"N/A")</f>
        <v/>
      </c>
      <c r="S218" s="6">
        <f>IF(AND(N218&lt;&gt;"",O218&lt;&gt;""),IF(N218&gt;O218,"Above","At/Below"),"N/A")</f>
        <v/>
      </c>
    </row>
    <row r="219">
      <c r="A219" s="10" t="inlineStr">
        <is>
          <t>TRD-000218</t>
        </is>
      </c>
      <c r="B219" s="10" t="inlineStr">
        <is>
          <t>2024-10-15</t>
        </is>
      </c>
      <c r="C219" s="10" t="inlineStr">
        <is>
          <t>2024-11-14</t>
        </is>
      </c>
      <c r="D219" s="10" t="inlineStr">
        <is>
          <t>Nickel</t>
        </is>
      </c>
      <c r="E219" s="10" t="inlineStr">
        <is>
          <t>NI</t>
        </is>
      </c>
      <c r="F219" s="10" t="inlineStr">
        <is>
          <t>Base Metals</t>
        </is>
      </c>
      <c r="G219" s="10" t="inlineStr">
        <is>
          <t>BM-CLIENT-01</t>
        </is>
      </c>
      <c r="H219" s="10" t="inlineStr">
        <is>
          <t>R. Nakamura</t>
        </is>
      </c>
      <c r="I219" s="10" t="inlineStr">
        <is>
          <t>BNP Paribas</t>
        </is>
      </c>
      <c r="J219" s="10" t="inlineStr">
        <is>
          <t>Sell</t>
        </is>
      </c>
      <c r="K219" s="10" t="inlineStr">
        <is>
          <t>Forward</t>
        </is>
      </c>
      <c r="L219" s="11" t="n">
        <v>4450</v>
      </c>
      <c r="M219" s="10" t="inlineStr">
        <is>
          <t>MT</t>
        </is>
      </c>
      <c r="N219" s="12" t="n">
        <v>17573.4763</v>
      </c>
      <c r="O219" s="12" t="n">
        <v>17511.5721</v>
      </c>
      <c r="P219" s="13" t="n">
        <v>78201969.53</v>
      </c>
      <c r="Q219" s="10" t="inlineStr">
        <is>
          <t>Settled</t>
        </is>
      </c>
      <c r="R219" s="10">
        <f>IFERROR(DATEVALUE(C219)-DATEVALUE(B219),"N/A")</f>
        <v/>
      </c>
      <c r="S219" s="10">
        <f>IF(AND(N219&lt;&gt;"",O219&lt;&gt;""),IF(N219&gt;O219,"Above","At/Below"),"N/A")</f>
        <v/>
      </c>
    </row>
    <row r="220">
      <c r="A220" s="6" t="inlineStr">
        <is>
          <t>TRD-000219</t>
        </is>
      </c>
      <c r="B220" s="6" t="inlineStr">
        <is>
          <t>2024-06-27</t>
        </is>
      </c>
      <c r="C220" s="6" t="inlineStr">
        <is>
          <t>2024-09-25</t>
        </is>
      </c>
      <c r="D220" s="6" t="inlineStr">
        <is>
          <t>Silver</t>
        </is>
      </c>
      <c r="E220" s="6" t="inlineStr">
        <is>
          <t>XAG</t>
        </is>
      </c>
      <c r="F220" s="6" t="inlineStr">
        <is>
          <t>Precious Metals</t>
        </is>
      </c>
      <c r="G220" s="6" t="inlineStr">
        <is>
          <t>PM-PROP-01</t>
        </is>
      </c>
      <c r="H220" s="6" t="inlineStr">
        <is>
          <t>P. O'Brien</t>
        </is>
      </c>
      <c r="I220" s="6" t="inlineStr">
        <is>
          <t>UBS AG</t>
        </is>
      </c>
      <c r="J220" s="6" t="inlineStr">
        <is>
          <t>Buy</t>
        </is>
      </c>
      <c r="K220" s="6" t="inlineStr">
        <is>
          <t>Forward</t>
        </is>
      </c>
      <c r="L220" s="7" t="n">
        <v>8600</v>
      </c>
      <c r="M220" s="6" t="inlineStr">
        <is>
          <t>troy oz</t>
        </is>
      </c>
      <c r="N220" s="8" t="n">
        <v>29.0423</v>
      </c>
      <c r="O220" s="8" t="n">
        <v>28.9694</v>
      </c>
      <c r="P220" s="9" t="n">
        <v>249763.78</v>
      </c>
      <c r="Q220" s="6" t="inlineStr">
        <is>
          <t>Cancelled</t>
        </is>
      </c>
      <c r="R220" s="6">
        <f>IFERROR(DATEVALUE(C220)-DATEVALUE(B220),"N/A")</f>
        <v/>
      </c>
      <c r="S220" s="6">
        <f>IF(AND(N220&lt;&gt;"",O220&lt;&gt;""),IF(N220&gt;O220,"Above","At/Below"),"N/A")</f>
        <v/>
      </c>
    </row>
    <row r="221">
      <c r="A221" s="10" t="inlineStr">
        <is>
          <t>TRD-000220</t>
        </is>
      </c>
      <c r="B221" s="10" t="inlineStr">
        <is>
          <t>2024-01-09</t>
        </is>
      </c>
      <c r="C221" s="10" t="inlineStr">
        <is>
          <t>2024-01-11</t>
        </is>
      </c>
      <c r="D221" s="10" t="inlineStr">
        <is>
          <t>Zinc</t>
        </is>
      </c>
      <c r="E221" s="10" t="inlineStr">
        <is>
          <t>ZN</t>
        </is>
      </c>
      <c r="F221" s="10" t="inlineStr">
        <is>
          <t>Base Metals</t>
        </is>
      </c>
      <c r="G221" s="10" t="inlineStr">
        <is>
          <t>BM-PROP-01</t>
        </is>
      </c>
      <c r="H221" s="10" t="inlineStr">
        <is>
          <t>S. Okonkwo</t>
        </is>
      </c>
      <c r="I221" s="10" t="inlineStr">
        <is>
          <t>UBS AG</t>
        </is>
      </c>
      <c r="J221" s="10" t="inlineStr">
        <is>
          <t>Buy</t>
        </is>
      </c>
      <c r="K221" s="10" t="inlineStr">
        <is>
          <t>Spot</t>
        </is>
      </c>
      <c r="L221" s="11" t="n">
        <v>3275</v>
      </c>
      <c r="M221" s="10" t="inlineStr">
        <is>
          <t>MT</t>
        </is>
      </c>
      <c r="N221" s="12" t="n">
        <v>2734.4631</v>
      </c>
      <c r="O221" s="12" t="n">
        <v>2732.4467</v>
      </c>
      <c r="P221" s="13" t="n">
        <v>8955366.65</v>
      </c>
      <c r="Q221" s="10" t="inlineStr">
        <is>
          <t>Cancelled</t>
        </is>
      </c>
      <c r="R221" s="10">
        <f>IFERROR(DATEVALUE(C221)-DATEVALUE(B221),"N/A")</f>
        <v/>
      </c>
      <c r="S221" s="10">
        <f>IF(AND(N221&lt;&gt;"",O221&lt;&gt;""),IF(N221&gt;O221,"Above","At/Below"),"N/A")</f>
        <v/>
      </c>
    </row>
    <row r="222">
      <c r="A222" s="6" t="inlineStr">
        <is>
          <t>TRD-000221</t>
        </is>
      </c>
      <c r="B222" s="6" t="inlineStr">
        <is>
          <t>2024-07-31</t>
        </is>
      </c>
      <c r="C222" s="6" t="inlineStr">
        <is>
          <t>2024-08-05</t>
        </is>
      </c>
      <c r="D222" s="6" t="inlineStr">
        <is>
          <t>Nickel</t>
        </is>
      </c>
      <c r="E222" s="6" t="inlineStr">
        <is>
          <t>NI</t>
        </is>
      </c>
      <c r="F222" s="6" t="inlineStr">
        <is>
          <t>Base Metals</t>
        </is>
      </c>
      <c r="G222" s="6" t="inlineStr">
        <is>
          <t>BM-PROP-01</t>
        </is>
      </c>
      <c r="H222" s="6" t="inlineStr">
        <is>
          <t>R. Nakamura</t>
        </is>
      </c>
      <c r="I222" s="6" t="inlineStr">
        <is>
          <t>JPMorgan Commodities</t>
        </is>
      </c>
      <c r="J222" s="6" t="inlineStr">
        <is>
          <t>Buy</t>
        </is>
      </c>
      <c r="K222" s="6" t="inlineStr">
        <is>
          <t>Option</t>
        </is>
      </c>
      <c r="L222" s="7" t="n">
        <v>550</v>
      </c>
      <c r="M222" s="6" t="inlineStr">
        <is>
          <t>MT</t>
        </is>
      </c>
      <c r="N222" s="8" t="n">
        <v>18292.6913</v>
      </c>
      <c r="O222" s="8" t="n">
        <v>18235.9582</v>
      </c>
      <c r="P222" s="9" t="n">
        <v>10060980.21</v>
      </c>
      <c r="Q222" s="6" t="inlineStr">
        <is>
          <t>Confirmed</t>
        </is>
      </c>
      <c r="R222" s="6">
        <f>IFERROR(DATEVALUE(C222)-DATEVALUE(B222),"N/A")</f>
        <v/>
      </c>
      <c r="S222" s="6">
        <f>IF(AND(N222&lt;&gt;"",O222&lt;&gt;""),IF(N222&gt;O222,"Above","At/Below"),"N/A")</f>
        <v/>
      </c>
    </row>
    <row r="223">
      <c r="A223" s="10" t="inlineStr">
        <is>
          <t>TRD-000222</t>
        </is>
      </c>
      <c r="B223" s="10" t="inlineStr">
        <is>
          <t>2024-12-12</t>
        </is>
      </c>
      <c r="C223" s="10" t="inlineStr">
        <is>
          <t>2024-12-14</t>
        </is>
      </c>
      <c r="D223" s="10" t="inlineStr">
        <is>
          <t>Palladium</t>
        </is>
      </c>
      <c r="E223" s="10" t="inlineStr">
        <is>
          <t>XPD</t>
        </is>
      </c>
      <c r="F223" s="10" t="inlineStr">
        <is>
          <t>Precious Metals</t>
        </is>
      </c>
      <c r="G223" s="10" t="inlineStr">
        <is>
          <t>PM-CLIENT-01</t>
        </is>
      </c>
      <c r="H223" s="10" t="inlineStr">
        <is>
          <t>M. Patel</t>
        </is>
      </c>
      <c r="I223" s="10" t="inlineStr">
        <is>
          <t>Scotiabank</t>
        </is>
      </c>
      <c r="J223" s="10" t="inlineStr">
        <is>
          <t>Sell</t>
        </is>
      </c>
      <c r="K223" s="10" t="inlineStr">
        <is>
          <t>Spot</t>
        </is>
      </c>
      <c r="L223" s="11" t="n">
        <v>22500</v>
      </c>
      <c r="M223" s="10" t="inlineStr">
        <is>
          <t>troy oz</t>
        </is>
      </c>
      <c r="N223" s="12" t="n">
        <v>1047.6038</v>
      </c>
      <c r="O223" s="12" t="n">
        <v>1047.4971</v>
      </c>
      <c r="P223" s="13" t="n">
        <v>23571085.5</v>
      </c>
      <c r="Q223" s="10" t="inlineStr">
        <is>
          <t>Settled</t>
        </is>
      </c>
      <c r="R223" s="10">
        <f>IFERROR(DATEVALUE(C223)-DATEVALUE(B223),"N/A")</f>
        <v/>
      </c>
      <c r="S223" s="10">
        <f>IF(AND(N223&lt;&gt;"",O223&lt;&gt;""),IF(N223&gt;O223,"Above","At/Below"),"N/A")</f>
        <v/>
      </c>
    </row>
    <row r="224">
      <c r="A224" s="6" t="inlineStr">
        <is>
          <t>TRD-000223</t>
        </is>
      </c>
      <c r="B224" s="6" t="inlineStr">
        <is>
          <t>2024-04-29</t>
        </is>
      </c>
      <c r="C224" s="6" t="inlineStr">
        <is>
          <t>2024-07-28</t>
        </is>
      </c>
      <c r="D224" s="6" t="inlineStr">
        <is>
          <t>Silver</t>
        </is>
      </c>
      <c r="E224" s="6" t="inlineStr">
        <is>
          <t>XAG</t>
        </is>
      </c>
      <c r="F224" s="6" t="inlineStr">
        <is>
          <t>Precious Metals</t>
        </is>
      </c>
      <c r="G224" s="6" t="inlineStr">
        <is>
          <t>PM-CLIENT-01</t>
        </is>
      </c>
      <c r="H224" s="6" t="inlineStr">
        <is>
          <t>T. Vasquez</t>
        </is>
      </c>
      <c r="I224" s="6" t="inlineStr">
        <is>
          <t>Citibank NA</t>
        </is>
      </c>
      <c r="J224" s="6" t="inlineStr">
        <is>
          <t>Buy</t>
        </is>
      </c>
      <c r="K224" s="6" t="inlineStr">
        <is>
          <t>Spot</t>
        </is>
      </c>
      <c r="L224" s="7" t="n">
        <v>9000</v>
      </c>
      <c r="M224" s="6" t="inlineStr">
        <is>
          <t>troy oz</t>
        </is>
      </c>
      <c r="N224" s="8" t="n">
        <v>27.7975</v>
      </c>
      <c r="O224" s="8" t="n">
        <v>27.7702</v>
      </c>
      <c r="P224" s="9" t="n">
        <v>250177.5</v>
      </c>
      <c r="Q224" s="6" t="inlineStr">
        <is>
          <t>Settled</t>
        </is>
      </c>
      <c r="R224" s="6">
        <f>IFERROR(DATEVALUE(C224)-DATEVALUE(B224),"N/A")</f>
        <v/>
      </c>
      <c r="S224" s="6">
        <f>IF(AND(N224&lt;&gt;"",O224&lt;&gt;""),IF(N224&gt;O224,"Above","At/Below"),"N/A")</f>
        <v/>
      </c>
    </row>
    <row r="225">
      <c r="A225" s="10" t="inlineStr">
        <is>
          <t>TRD-000224</t>
        </is>
      </c>
      <c r="B225" s="10" t="inlineStr">
        <is>
          <t>2024-11-06</t>
        </is>
      </c>
      <c r="C225" s="10" t="inlineStr">
        <is>
          <t>2024-11-11</t>
        </is>
      </c>
      <c r="D225" s="10" t="inlineStr">
        <is>
          <t>Platinum</t>
        </is>
      </c>
      <c r="E225" s="10" t="inlineStr">
        <is>
          <t>XPT</t>
        </is>
      </c>
      <c r="F225" s="10" t="inlineStr">
        <is>
          <t>Precious Metals</t>
        </is>
      </c>
      <c r="G225" s="10" t="inlineStr">
        <is>
          <t>PM-PROP-01</t>
        </is>
      </c>
      <c r="H225" s="10" t="inlineStr">
        <is>
          <t>J. Kowalski</t>
        </is>
      </c>
      <c r="I225" s="10" t="inlineStr">
        <is>
          <t>BNP Paribas</t>
        </is>
      </c>
      <c r="J225" s="10" t="inlineStr">
        <is>
          <t>Buy</t>
        </is>
      </c>
      <c r="K225" s="10" t="inlineStr">
        <is>
          <t>Spot</t>
        </is>
      </c>
      <c r="L225" s="11" t="n">
        <v>31500</v>
      </c>
      <c r="M225" s="10" t="inlineStr">
        <is>
          <t>troy oz</t>
        </is>
      </c>
      <c r="N225" s="12" t="n">
        <v>934.8011</v>
      </c>
      <c r="O225" s="12" t="n">
        <v>933.8608</v>
      </c>
      <c r="P225" s="13" t="n">
        <v>29446234.65</v>
      </c>
      <c r="Q225" s="10" t="inlineStr">
        <is>
          <t>Confirmed</t>
        </is>
      </c>
      <c r="R225" s="10">
        <f>IFERROR(DATEVALUE(C225)-DATEVALUE(B225),"N/A")</f>
        <v/>
      </c>
      <c r="S225" s="10">
        <f>IF(AND(N225&lt;&gt;"",O225&lt;&gt;""),IF(N225&gt;O225,"Above","At/Below"),"N/A")</f>
        <v/>
      </c>
    </row>
    <row r="226">
      <c r="A226" s="6" t="inlineStr">
        <is>
          <t>TRD-000225</t>
        </is>
      </c>
      <c r="B226" s="6" t="inlineStr">
        <is>
          <t>2024-02-15</t>
        </is>
      </c>
      <c r="C226" s="6" t="inlineStr">
        <is>
          <t>2024-03-16</t>
        </is>
      </c>
      <c r="D226" s="6" t="inlineStr">
        <is>
          <t>Copper</t>
        </is>
      </c>
      <c r="E226" s="6" t="inlineStr">
        <is>
          <t>HG</t>
        </is>
      </c>
      <c r="F226" s="6" t="inlineStr">
        <is>
          <t>Base Metals</t>
        </is>
      </c>
      <c r="G226" s="6" t="inlineStr">
        <is>
          <t>BM-CLIENT-01</t>
        </is>
      </c>
      <c r="H226" s="6" t="inlineStr">
        <is>
          <t>M. Patel</t>
        </is>
      </c>
      <c r="I226" s="6" t="inlineStr">
        <is>
          <t>JPMorgan Commodities</t>
        </is>
      </c>
      <c r="J226" s="6" t="inlineStr">
        <is>
          <t>Buy</t>
        </is>
      </c>
      <c r="K226" s="6" t="inlineStr">
        <is>
          <t>Spot</t>
        </is>
      </c>
      <c r="L226" s="7" t="n">
        <v>3450</v>
      </c>
      <c r="M226" s="6" t="inlineStr">
        <is>
          <t>lbs</t>
        </is>
      </c>
      <c r="N226" s="8" t="n">
        <v>3.9822</v>
      </c>
      <c r="O226" s="8" t="n">
        <v>3.9847</v>
      </c>
      <c r="P226" s="9" t="n">
        <v>13738.59</v>
      </c>
      <c r="Q226" s="6" t="inlineStr">
        <is>
          <t>Pending</t>
        </is>
      </c>
      <c r="R226" s="6">
        <f>IFERROR(DATEVALUE(C226)-DATEVALUE(B226),"N/A")</f>
        <v/>
      </c>
      <c r="S226" s="6">
        <f>IF(AND(N226&lt;&gt;"",O226&lt;&gt;""),IF(N226&gt;O226,"Above","At/Below"),"N/A")</f>
        <v/>
      </c>
    </row>
    <row r="227">
      <c r="A227" s="10" t="inlineStr">
        <is>
          <t>TRD-000226</t>
        </is>
      </c>
      <c r="B227" s="10" t="inlineStr">
        <is>
          <t>2024-08-13</t>
        </is>
      </c>
      <c r="C227" s="10" t="inlineStr">
        <is>
          <t>2024-09-12</t>
        </is>
      </c>
      <c r="D227" s="10" t="inlineStr">
        <is>
          <t>Nickel</t>
        </is>
      </c>
      <c r="E227" s="10" t="inlineStr">
        <is>
          <t>NI</t>
        </is>
      </c>
      <c r="F227" s="10" t="inlineStr">
        <is>
          <t>Base Metals</t>
        </is>
      </c>
      <c r="G227" s="10" t="inlineStr">
        <is>
          <t>BM-CLIENT-01</t>
        </is>
      </c>
      <c r="H227" s="10" t="inlineStr">
        <is>
          <t>S. Okonkwo</t>
        </is>
      </c>
      <c r="I227" s="10" t="inlineStr">
        <is>
          <t>Morgan Stanley</t>
        </is>
      </c>
      <c r="J227" s="10" t="inlineStr">
        <is>
          <t>Buy</t>
        </is>
      </c>
      <c r="K227" s="10" t="inlineStr">
        <is>
          <t>Spot</t>
        </is>
      </c>
      <c r="L227" s="11" t="n">
        <v>2525</v>
      </c>
      <c r="M227" s="10" t="inlineStr">
        <is>
          <t>MT</t>
        </is>
      </c>
      <c r="N227" s="12" t="n">
        <v>17372.931</v>
      </c>
      <c r="O227" s="12" t="n">
        <v>17305.1187</v>
      </c>
      <c r="P227" s="13" t="n">
        <v>43866650.77</v>
      </c>
      <c r="Q227" s="10" t="inlineStr">
        <is>
          <t>Pending</t>
        </is>
      </c>
      <c r="R227" s="10">
        <f>IFERROR(DATEVALUE(C227)-DATEVALUE(B227),"N/A")</f>
        <v/>
      </c>
      <c r="S227" s="10">
        <f>IF(AND(N227&lt;&gt;"",O227&lt;&gt;""),IF(N227&gt;O227,"Above","At/Below"),"N/A")</f>
        <v/>
      </c>
    </row>
    <row r="228">
      <c r="A228" s="6" t="inlineStr">
        <is>
          <t>TRD-000227</t>
        </is>
      </c>
      <c r="B228" s="6" t="inlineStr">
        <is>
          <t>2024-03-01</t>
        </is>
      </c>
      <c r="C228" s="6" t="inlineStr">
        <is>
          <t>2024-05-30</t>
        </is>
      </c>
      <c r="D228" s="6" t="inlineStr">
        <is>
          <t>Copper</t>
        </is>
      </c>
      <c r="E228" s="6" t="inlineStr">
        <is>
          <t>HG</t>
        </is>
      </c>
      <c r="F228" s="6" t="inlineStr">
        <is>
          <t>Base Metals</t>
        </is>
      </c>
      <c r="G228" s="6" t="inlineStr">
        <is>
          <t>BM-CLIENT-01</t>
        </is>
      </c>
      <c r="H228" s="6" t="inlineStr">
        <is>
          <t>S. Okonkwo</t>
        </is>
      </c>
      <c r="I228" s="6" t="inlineStr">
        <is>
          <t>Barclays Metals</t>
        </is>
      </c>
      <c r="J228" s="6" t="inlineStr">
        <is>
          <t>Buy</t>
        </is>
      </c>
      <c r="K228" s="6" t="inlineStr">
        <is>
          <t>Spot</t>
        </is>
      </c>
      <c r="L228" s="7" t="n">
        <v>775</v>
      </c>
      <c r="M228" s="6" t="inlineStr">
        <is>
          <t>lbs</t>
        </is>
      </c>
      <c r="N228" s="8" t="n">
        <v>3.9952</v>
      </c>
      <c r="O228" s="8" t="n">
        <v>3.9981</v>
      </c>
      <c r="P228" s="9" t="n">
        <v>3096.28</v>
      </c>
      <c r="Q228" s="6" t="inlineStr">
        <is>
          <t>Confirmed</t>
        </is>
      </c>
      <c r="R228" s="6">
        <f>IFERROR(DATEVALUE(C228)-DATEVALUE(B228),"N/A")</f>
        <v/>
      </c>
      <c r="S228" s="6">
        <f>IF(AND(N228&lt;&gt;"",O228&lt;&gt;""),IF(N228&gt;O228,"Above","At/Below"),"N/A")</f>
        <v/>
      </c>
    </row>
    <row r="229">
      <c r="A229" s="10" t="inlineStr">
        <is>
          <t>TRD-000228</t>
        </is>
      </c>
      <c r="B229" s="10" t="inlineStr">
        <is>
          <t>2024-10-02</t>
        </is>
      </c>
      <c r="C229" s="10" t="inlineStr">
        <is>
          <t>2024-10-07</t>
        </is>
      </c>
      <c r="D229" s="10" t="inlineStr">
        <is>
          <t>Platinum</t>
        </is>
      </c>
      <c r="E229" s="10" t="inlineStr">
        <is>
          <t>XPT</t>
        </is>
      </c>
      <c r="F229" s="10" t="inlineStr">
        <is>
          <t>Precious Metals</t>
        </is>
      </c>
      <c r="G229" s="10" t="inlineStr">
        <is>
          <t>PM-CLIENT-01</t>
        </is>
      </c>
      <c r="H229" s="10" t="inlineStr">
        <is>
          <t>S. Okonkwo</t>
        </is>
      </c>
      <c r="I229" s="10" t="inlineStr">
        <is>
          <t>Standard Chartered</t>
        </is>
      </c>
      <c r="J229" s="10" t="inlineStr">
        <is>
          <t>Buy</t>
        </is>
      </c>
      <c r="K229" s="10" t="inlineStr">
        <is>
          <t>Forward</t>
        </is>
      </c>
      <c r="L229" s="11" t="n">
        <v>32600</v>
      </c>
      <c r="M229" s="10" t="inlineStr">
        <is>
          <t>troy oz</t>
        </is>
      </c>
      <c r="N229" s="12" t="n">
        <v>950.5589</v>
      </c>
      <c r="O229" s="12" t="n">
        <v>949.2039</v>
      </c>
      <c r="P229" s="13" t="n">
        <v>30988220.14</v>
      </c>
      <c r="Q229" s="10" t="inlineStr">
        <is>
          <t>Confirmed</t>
        </is>
      </c>
      <c r="R229" s="10">
        <f>IFERROR(DATEVALUE(C229)-DATEVALUE(B229),"N/A")</f>
        <v/>
      </c>
      <c r="S229" s="10">
        <f>IF(AND(N229&lt;&gt;"",O229&lt;&gt;""),IF(N229&gt;O229,"Above","At/Below"),"N/A")</f>
        <v/>
      </c>
    </row>
    <row r="230">
      <c r="A230" s="6" t="inlineStr">
        <is>
          <t>TRD-000229</t>
        </is>
      </c>
      <c r="B230" s="6" t="inlineStr">
        <is>
          <t>2024-02-08</t>
        </is>
      </c>
      <c r="C230" s="6" t="inlineStr">
        <is>
          <t>2024-02-10</t>
        </is>
      </c>
      <c r="D230" s="6" t="inlineStr">
        <is>
          <t>Nickel</t>
        </is>
      </c>
      <c r="E230" s="6" t="inlineStr">
        <is>
          <t>NI</t>
        </is>
      </c>
      <c r="F230" s="6" t="inlineStr">
        <is>
          <t>Base Metals</t>
        </is>
      </c>
      <c r="G230" s="6" t="inlineStr">
        <is>
          <t>BM-CLIENT-01</t>
        </is>
      </c>
      <c r="H230" s="6" t="inlineStr">
        <is>
          <t>T. Vasquez</t>
        </is>
      </c>
      <c r="I230" s="6" t="inlineStr">
        <is>
          <t>Deutsche Bank</t>
        </is>
      </c>
      <c r="J230" s="6" t="inlineStr">
        <is>
          <t>Buy</t>
        </is>
      </c>
      <c r="K230" s="6" t="inlineStr">
        <is>
          <t>Spot</t>
        </is>
      </c>
      <c r="L230" s="7" t="n">
        <v>3125</v>
      </c>
      <c r="M230" s="6" t="inlineStr">
        <is>
          <t>MT</t>
        </is>
      </c>
      <c r="N230" s="8" t="n">
        <v>18303.3003</v>
      </c>
      <c r="O230" s="8" t="n">
        <v>18290.7234</v>
      </c>
      <c r="P230" s="9" t="n">
        <v>57197813.44</v>
      </c>
      <c r="Q230" s="6" t="inlineStr">
        <is>
          <t>Pending</t>
        </is>
      </c>
      <c r="R230" s="6">
        <f>IFERROR(DATEVALUE(C230)-DATEVALUE(B230),"N/A")</f>
        <v/>
      </c>
      <c r="S230" s="6">
        <f>IF(AND(N230&lt;&gt;"",O230&lt;&gt;""),IF(N230&gt;O230,"Above","At/Below"),"N/A")</f>
        <v/>
      </c>
    </row>
    <row r="231">
      <c r="A231" s="10" t="inlineStr">
        <is>
          <t>TRD-000230</t>
        </is>
      </c>
      <c r="B231" s="10" t="inlineStr">
        <is>
          <t>2024-11-14</t>
        </is>
      </c>
      <c r="C231" s="10" t="inlineStr">
        <is>
          <t>2024-11-19</t>
        </is>
      </c>
      <c r="D231" s="10" t="inlineStr">
        <is>
          <t>Zinc</t>
        </is>
      </c>
      <c r="E231" s="10" t="inlineStr">
        <is>
          <t>ZN</t>
        </is>
      </c>
      <c r="F231" s="10" t="inlineStr">
        <is>
          <t>Base Metals</t>
        </is>
      </c>
      <c r="G231" s="10" t="inlineStr">
        <is>
          <t>BM-CLIENT-01</t>
        </is>
      </c>
      <c r="H231" s="10" t="inlineStr">
        <is>
          <t>J. Kowalski</t>
        </is>
      </c>
      <c r="I231" s="10" t="inlineStr">
        <is>
          <t>JPMorgan Commodities</t>
        </is>
      </c>
      <c r="J231" s="10" t="inlineStr">
        <is>
          <t>Buy</t>
        </is>
      </c>
      <c r="K231" s="10" t="inlineStr">
        <is>
          <t>Forward</t>
        </is>
      </c>
      <c r="L231" s="11" t="n">
        <v>3625</v>
      </c>
      <c r="M231" s="10" t="inlineStr">
        <is>
          <t>MT</t>
        </is>
      </c>
      <c r="N231" s="12" t="n">
        <v>2705.5959</v>
      </c>
      <c r="O231" s="12" t="n">
        <v>2706.831</v>
      </c>
      <c r="P231" s="13" t="n">
        <v>9807785.140000001</v>
      </c>
      <c r="Q231" s="10" t="inlineStr">
        <is>
          <t>Confirmed</t>
        </is>
      </c>
      <c r="R231" s="10">
        <f>IFERROR(DATEVALUE(C231)-DATEVALUE(B231),"N/A")</f>
        <v/>
      </c>
      <c r="S231" s="10">
        <f>IF(AND(N231&lt;&gt;"",O231&lt;&gt;""),IF(N231&gt;O231,"Above","At/Below"),"N/A")</f>
        <v/>
      </c>
    </row>
    <row r="232">
      <c r="A232" s="6" t="inlineStr">
        <is>
          <t>TRD-000231</t>
        </is>
      </c>
      <c r="B232" s="6" t="inlineStr">
        <is>
          <t>2024-11-25</t>
        </is>
      </c>
      <c r="C232" s="6" t="inlineStr">
        <is>
          <t>2024-12-25</t>
        </is>
      </c>
      <c r="D232" s="6" t="inlineStr">
        <is>
          <t>Copper</t>
        </is>
      </c>
      <c r="E232" s="6" t="inlineStr">
        <is>
          <t>HG</t>
        </is>
      </c>
      <c r="F232" s="6" t="inlineStr">
        <is>
          <t>Base Metals</t>
        </is>
      </c>
      <c r="G232" s="6" t="inlineStr">
        <is>
          <t>BM-PROP-01</t>
        </is>
      </c>
      <c r="H232" s="6" t="inlineStr">
        <is>
          <t>M. Patel</t>
        </is>
      </c>
      <c r="I232" s="6" t="inlineStr">
        <is>
          <t>JPMorgan Commodities</t>
        </is>
      </c>
      <c r="J232" s="6" t="inlineStr">
        <is>
          <t>Sell</t>
        </is>
      </c>
      <c r="K232" s="6" t="inlineStr">
        <is>
          <t>Forward</t>
        </is>
      </c>
      <c r="L232" s="7" t="n">
        <v>4925</v>
      </c>
      <c r="M232" s="6" t="inlineStr">
        <is>
          <t>lbs</t>
        </is>
      </c>
      <c r="N232" s="8" t="n">
        <v>4.2455</v>
      </c>
      <c r="O232" s="8" t="n">
        <v>4.2506</v>
      </c>
      <c r="P232" s="9" t="n">
        <v>20909.09</v>
      </c>
      <c r="Q232" s="6" t="inlineStr">
        <is>
          <t>Settled</t>
        </is>
      </c>
      <c r="R232" s="6">
        <f>IFERROR(DATEVALUE(C232)-DATEVALUE(B232),"N/A")</f>
        <v/>
      </c>
      <c r="S232" s="6">
        <f>IF(AND(N232&lt;&gt;"",O232&lt;&gt;""),IF(N232&gt;O232,"Above","At/Below"),"N/A")</f>
        <v/>
      </c>
    </row>
    <row r="233">
      <c r="A233" s="10" t="inlineStr">
        <is>
          <t>TRD-000232</t>
        </is>
      </c>
      <c r="B233" s="10" t="inlineStr">
        <is>
          <t>2024-01-31</t>
        </is>
      </c>
      <c r="C233" s="10" t="inlineStr">
        <is>
          <t>2024-04-30</t>
        </is>
      </c>
      <c r="D233" s="10" t="inlineStr">
        <is>
          <t>Aluminium</t>
        </is>
      </c>
      <c r="E233" s="10" t="inlineStr">
        <is>
          <t>AL</t>
        </is>
      </c>
      <c r="F233" s="10" t="inlineStr">
        <is>
          <t>Base Metals</t>
        </is>
      </c>
      <c r="G233" s="10" t="inlineStr">
        <is>
          <t>BM-CLIENT-01</t>
        </is>
      </c>
      <c r="H233" s="10" t="inlineStr">
        <is>
          <t>L. Chen</t>
        </is>
      </c>
      <c r="I233" s="10" t="inlineStr">
        <is>
          <t>JPMorgan Commodities</t>
        </is>
      </c>
      <c r="J233" s="10" t="inlineStr">
        <is>
          <t>Sell</t>
        </is>
      </c>
      <c r="K233" s="10" t="inlineStr">
        <is>
          <t>Spot</t>
        </is>
      </c>
      <c r="L233" s="11" t="n">
        <v>1400</v>
      </c>
      <c r="M233" s="10" t="inlineStr">
        <is>
          <t>MT</t>
        </is>
      </c>
      <c r="N233" s="12" t="n">
        <v>2444.9158</v>
      </c>
      <c r="O233" s="12" t="n">
        <v>2435.6348</v>
      </c>
      <c r="P233" s="13" t="n">
        <v>3422882.12</v>
      </c>
      <c r="Q233" s="10" t="inlineStr">
        <is>
          <t>Settled</t>
        </is>
      </c>
      <c r="R233" s="10">
        <f>IFERROR(DATEVALUE(C233)-DATEVALUE(B233),"N/A")</f>
        <v/>
      </c>
      <c r="S233" s="10">
        <f>IF(AND(N233&lt;&gt;"",O233&lt;&gt;""),IF(N233&gt;O233,"Above","At/Below"),"N/A")</f>
        <v/>
      </c>
    </row>
    <row r="234">
      <c r="A234" s="6" t="inlineStr">
        <is>
          <t>TRD-000233</t>
        </is>
      </c>
      <c r="B234" s="6" t="inlineStr">
        <is>
          <t>2024-07-08</t>
        </is>
      </c>
      <c r="C234" s="6" t="inlineStr">
        <is>
          <t>2024-07-10</t>
        </is>
      </c>
      <c r="D234" s="6" t="inlineStr">
        <is>
          <t>Gold</t>
        </is>
      </c>
      <c r="E234" s="6" t="inlineStr">
        <is>
          <t>XAU</t>
        </is>
      </c>
      <c r="F234" s="6" t="inlineStr">
        <is>
          <t>Precious Metals</t>
        </is>
      </c>
      <c r="G234" s="6" t="inlineStr">
        <is>
          <t>PM-HEDGE-01</t>
        </is>
      </c>
      <c r="H234" s="6" t="inlineStr">
        <is>
          <t>L. Chen</t>
        </is>
      </c>
      <c r="I234" s="6" t="inlineStr">
        <is>
          <t>Citibank NA</t>
        </is>
      </c>
      <c r="J234" s="6" t="inlineStr">
        <is>
          <t>Sell</t>
        </is>
      </c>
      <c r="K234" s="6" t="inlineStr">
        <is>
          <t>Option</t>
        </is>
      </c>
      <c r="L234" s="7" t="n">
        <v>4500</v>
      </c>
      <c r="M234" s="6" t="inlineStr">
        <is>
          <t>troy oz</t>
        </is>
      </c>
      <c r="N234" s="8" t="n">
        <v>2432.2476</v>
      </c>
      <c r="O234" s="8" t="n">
        <v>2435.1169</v>
      </c>
      <c r="P234" s="9" t="n">
        <v>10945114.2</v>
      </c>
      <c r="Q234" s="6" t="inlineStr">
        <is>
          <t>Settled</t>
        </is>
      </c>
      <c r="R234" s="6">
        <f>IFERROR(DATEVALUE(C234)-DATEVALUE(B234),"N/A")</f>
        <v/>
      </c>
      <c r="S234" s="6">
        <f>IF(AND(N234&lt;&gt;"",O234&lt;&gt;""),IF(N234&gt;O234,"Above","At/Below"),"N/A")</f>
        <v/>
      </c>
    </row>
    <row r="235">
      <c r="A235" s="10" t="inlineStr">
        <is>
          <t>TRD-000234</t>
        </is>
      </c>
      <c r="B235" s="10" t="inlineStr">
        <is>
          <t>2024-11-04</t>
        </is>
      </c>
      <c r="C235" s="10" t="inlineStr">
        <is>
          <t>2024-11-06</t>
        </is>
      </c>
      <c r="D235" s="10" t="inlineStr">
        <is>
          <t>Aluminium</t>
        </is>
      </c>
      <c r="E235" s="10" t="inlineStr">
        <is>
          <t>AL</t>
        </is>
      </c>
      <c r="F235" s="10" t="inlineStr">
        <is>
          <t>Base Metals</t>
        </is>
      </c>
      <c r="G235" s="10" t="inlineStr">
        <is>
          <t>BM-CLIENT-01</t>
        </is>
      </c>
      <c r="H235" s="10" t="inlineStr">
        <is>
          <t>A. Dubois</t>
        </is>
      </c>
      <c r="I235" s="10" t="inlineStr">
        <is>
          <t>Goldman Sachs</t>
        </is>
      </c>
      <c r="J235" s="10" t="inlineStr">
        <is>
          <t>Buy</t>
        </is>
      </c>
      <c r="K235" s="10" t="inlineStr">
        <is>
          <t>Option</t>
        </is>
      </c>
      <c r="L235" s="11" t="n">
        <v>1325</v>
      </c>
      <c r="M235" s="10" t="inlineStr">
        <is>
          <t>MT</t>
        </is>
      </c>
      <c r="N235" s="12" t="n">
        <v>2483.3904</v>
      </c>
      <c r="O235" s="12" t="n">
        <v>2478.457</v>
      </c>
      <c r="P235" s="13" t="n">
        <v>3290492.28</v>
      </c>
      <c r="Q235" s="10" t="inlineStr">
        <is>
          <t>Confirmed</t>
        </is>
      </c>
      <c r="R235" s="10">
        <f>IFERROR(DATEVALUE(C235)-DATEVALUE(B235),"N/A")</f>
        <v/>
      </c>
      <c r="S235" s="10">
        <f>IF(AND(N235&lt;&gt;"",O235&lt;&gt;""),IF(N235&gt;O235,"Above","At/Below"),"N/A")</f>
        <v/>
      </c>
    </row>
    <row r="236">
      <c r="A236" s="6" t="inlineStr">
        <is>
          <t>TRD-000235</t>
        </is>
      </c>
      <c r="B236" s="6" t="inlineStr">
        <is>
          <t>2024-07-29</t>
        </is>
      </c>
      <c r="C236" s="6" t="inlineStr">
        <is>
          <t>2024-07-31</t>
        </is>
      </c>
      <c r="D236" s="6" t="inlineStr">
        <is>
          <t>Aluminium</t>
        </is>
      </c>
      <c r="E236" s="6" t="inlineStr">
        <is>
          <t>AL</t>
        </is>
      </c>
      <c r="F236" s="6" t="inlineStr">
        <is>
          <t>Base Metals</t>
        </is>
      </c>
      <c r="G236" s="6" t="inlineStr">
        <is>
          <t>BM-CLIENT-01</t>
        </is>
      </c>
      <c r="H236" s="6" t="inlineStr">
        <is>
          <t>P. O'Brien</t>
        </is>
      </c>
      <c r="I236" s="6" t="inlineStr">
        <is>
          <t>Scotiabank</t>
        </is>
      </c>
      <c r="J236" s="6" t="inlineStr">
        <is>
          <t>Buy</t>
        </is>
      </c>
      <c r="K236" s="6" t="inlineStr">
        <is>
          <t>Spot</t>
        </is>
      </c>
      <c r="L236" s="7" t="n">
        <v>3300</v>
      </c>
      <c r="M236" s="6" t="inlineStr">
        <is>
          <t>MT</t>
        </is>
      </c>
      <c r="N236" s="8" t="n">
        <v>2475.8422</v>
      </c>
      <c r="O236" s="8" t="n">
        <v>2467.8202</v>
      </c>
      <c r="P236" s="9" t="n">
        <v>8170279.26</v>
      </c>
      <c r="Q236" s="6" t="inlineStr">
        <is>
          <t>Cancelled</t>
        </is>
      </c>
      <c r="R236" s="6">
        <f>IFERROR(DATEVALUE(C236)-DATEVALUE(B236),"N/A")</f>
        <v/>
      </c>
      <c r="S236" s="6">
        <f>IF(AND(N236&lt;&gt;"",O236&lt;&gt;""),IF(N236&gt;O236,"Above","At/Below"),"N/A")</f>
        <v/>
      </c>
    </row>
    <row r="237">
      <c r="A237" s="10" t="inlineStr">
        <is>
          <t>TRD-000236</t>
        </is>
      </c>
      <c r="B237" s="10" t="inlineStr">
        <is>
          <t>2024-04-04</t>
        </is>
      </c>
      <c r="C237" s="10" t="inlineStr">
        <is>
          <t>2024-04-06</t>
        </is>
      </c>
      <c r="D237" s="10" t="inlineStr">
        <is>
          <t>Platinum</t>
        </is>
      </c>
      <c r="E237" s="10" t="inlineStr">
        <is>
          <t>XPT</t>
        </is>
      </c>
      <c r="F237" s="10" t="inlineStr">
        <is>
          <t>Precious Metals</t>
        </is>
      </c>
      <c r="G237" s="10" t="inlineStr">
        <is>
          <t>PM-CLIENT-01</t>
        </is>
      </c>
      <c r="H237" s="10" t="inlineStr">
        <is>
          <t>T. Vasquez</t>
        </is>
      </c>
      <c r="I237" s="10" t="inlineStr">
        <is>
          <t>Standard Chartered</t>
        </is>
      </c>
      <c r="J237" s="10" t="inlineStr">
        <is>
          <t>Buy</t>
        </is>
      </c>
      <c r="K237" s="10" t="inlineStr">
        <is>
          <t>Forward</t>
        </is>
      </c>
      <c r="L237" s="11" t="n">
        <v>16500</v>
      </c>
      <c r="M237" s="10" t="inlineStr">
        <is>
          <t>troy oz</t>
        </is>
      </c>
      <c r="N237" s="12" t="n">
        <v>947.9161</v>
      </c>
      <c r="O237" s="12" t="n">
        <v>945.3319</v>
      </c>
      <c r="P237" s="13" t="n">
        <v>15640615.65</v>
      </c>
      <c r="Q237" s="10" t="inlineStr">
        <is>
          <t>Confirmed</t>
        </is>
      </c>
      <c r="R237" s="10">
        <f>IFERROR(DATEVALUE(C237)-DATEVALUE(B237),"N/A")</f>
        <v/>
      </c>
      <c r="S237" s="10">
        <f>IF(AND(N237&lt;&gt;"",O237&lt;&gt;""),IF(N237&gt;O237,"Above","At/Below"),"N/A")</f>
        <v/>
      </c>
    </row>
    <row r="238">
      <c r="A238" s="6" t="inlineStr">
        <is>
          <t>TRD-000237</t>
        </is>
      </c>
      <c r="B238" s="6" t="inlineStr">
        <is>
          <t>2024-10-24</t>
        </is>
      </c>
      <c r="C238" s="6" t="inlineStr">
        <is>
          <t>2024-10-29</t>
        </is>
      </c>
      <c r="D238" s="6" t="inlineStr">
        <is>
          <t>Copper</t>
        </is>
      </c>
      <c r="E238" s="6" t="inlineStr">
        <is>
          <t>HG</t>
        </is>
      </c>
      <c r="F238" s="6" t="inlineStr">
        <is>
          <t>Base Metals</t>
        </is>
      </c>
      <c r="G238" s="6" t="inlineStr">
        <is>
          <t>BM-CLIENT-01</t>
        </is>
      </c>
      <c r="H238" s="6" t="inlineStr">
        <is>
          <t>R. Nakamura</t>
        </is>
      </c>
      <c r="I238" s="6" t="inlineStr">
        <is>
          <t>TD Securities</t>
        </is>
      </c>
      <c r="J238" s="6" t="inlineStr">
        <is>
          <t>Buy</t>
        </is>
      </c>
      <c r="K238" s="6" t="inlineStr">
        <is>
          <t>Spot</t>
        </is>
      </c>
      <c r="L238" s="7" t="n">
        <v>4075</v>
      </c>
      <c r="M238" s="6" t="inlineStr">
        <is>
          <t>lbs</t>
        </is>
      </c>
      <c r="N238" s="8" t="n">
        <v>4.1435</v>
      </c>
      <c r="O238" s="8" t="n">
        <v>4.1301</v>
      </c>
      <c r="P238" s="9" t="n">
        <v>16884.76</v>
      </c>
      <c r="Q238" s="6" t="inlineStr">
        <is>
          <t>Cancelled</t>
        </is>
      </c>
      <c r="R238" s="6">
        <f>IFERROR(DATEVALUE(C238)-DATEVALUE(B238),"N/A")</f>
        <v/>
      </c>
      <c r="S238" s="6">
        <f>IF(AND(N238&lt;&gt;"",O238&lt;&gt;""),IF(N238&gt;O238,"Above","At/Below"),"N/A")</f>
        <v/>
      </c>
    </row>
    <row r="239">
      <c r="A239" s="10" t="inlineStr">
        <is>
          <t>TRD-000238</t>
        </is>
      </c>
      <c r="B239" s="10" t="inlineStr">
        <is>
          <t>2024-01-03</t>
        </is>
      </c>
      <c r="C239" s="10" t="inlineStr">
        <is>
          <t>2024-04-02</t>
        </is>
      </c>
      <c r="D239" s="10" t="inlineStr">
        <is>
          <t>Aluminium</t>
        </is>
      </c>
      <c r="E239" s="10" t="inlineStr">
        <is>
          <t>AL</t>
        </is>
      </c>
      <c r="F239" s="10" t="inlineStr">
        <is>
          <t>Base Metals</t>
        </is>
      </c>
      <c r="G239" s="10" t="inlineStr">
        <is>
          <t>BM-CLIENT-01</t>
        </is>
      </c>
      <c r="H239" s="10" t="inlineStr">
        <is>
          <t>P. O'Brien</t>
        </is>
      </c>
      <c r="I239" s="10" t="inlineStr">
        <is>
          <t>Citibank NA</t>
        </is>
      </c>
      <c r="J239" s="10" t="inlineStr">
        <is>
          <t>Sell</t>
        </is>
      </c>
      <c r="K239" s="10" t="inlineStr">
        <is>
          <t>Option</t>
        </is>
      </c>
      <c r="L239" s="11" t="n">
        <v>2950</v>
      </c>
      <c r="M239" s="10" t="inlineStr">
        <is>
          <t>MT</t>
        </is>
      </c>
      <c r="N239" s="12" t="n">
        <v>2358.7097</v>
      </c>
      <c r="O239" s="12" t="n">
        <v>2350.3197</v>
      </c>
      <c r="P239" s="13" t="n">
        <v>6958193.61</v>
      </c>
      <c r="Q239" s="10" t="inlineStr">
        <is>
          <t>Cancelled</t>
        </is>
      </c>
      <c r="R239" s="10">
        <f>IFERROR(DATEVALUE(C239)-DATEVALUE(B239),"N/A")</f>
        <v/>
      </c>
      <c r="S239" s="10">
        <f>IF(AND(N239&lt;&gt;"",O239&lt;&gt;""),IF(N239&gt;O239,"Above","At/Below"),"N/A")</f>
        <v/>
      </c>
    </row>
    <row r="240">
      <c r="A240" s="6" t="inlineStr">
        <is>
          <t>TRD-000239</t>
        </is>
      </c>
      <c r="B240" s="6" t="inlineStr">
        <is>
          <t>2024-07-11</t>
        </is>
      </c>
      <c r="C240" s="6" t="inlineStr">
        <is>
          <t>2024-07-13</t>
        </is>
      </c>
      <c r="D240" s="6" t="inlineStr">
        <is>
          <t>Palladium</t>
        </is>
      </c>
      <c r="E240" s="6" t="inlineStr">
        <is>
          <t>XPD</t>
        </is>
      </c>
      <c r="F240" s="6" t="inlineStr">
        <is>
          <t>Precious Metals</t>
        </is>
      </c>
      <c r="G240" s="6" t="inlineStr">
        <is>
          <t>PM-HEDGE-01</t>
        </is>
      </c>
      <c r="H240" s="6" t="inlineStr">
        <is>
          <t>R. Nakamura</t>
        </is>
      </c>
      <c r="I240" s="6" t="inlineStr">
        <is>
          <t>Morgan Stanley</t>
        </is>
      </c>
      <c r="J240" s="6" t="inlineStr">
        <is>
          <t>Buy</t>
        </is>
      </c>
      <c r="K240" s="6" t="inlineStr">
        <is>
          <t>Forward</t>
        </is>
      </c>
      <c r="L240" s="7" t="n">
        <v>17300</v>
      </c>
      <c r="M240" s="6" t="inlineStr">
        <is>
          <t>troy oz</t>
        </is>
      </c>
      <c r="N240" s="8" t="n">
        <v>1085.9915</v>
      </c>
      <c r="O240" s="8" t="n">
        <v>1084.4761</v>
      </c>
      <c r="P240" s="9" t="n">
        <v>18787652.95</v>
      </c>
      <c r="Q240" s="6" t="inlineStr">
        <is>
          <t>Settled</t>
        </is>
      </c>
      <c r="R240" s="6">
        <f>IFERROR(DATEVALUE(C240)-DATEVALUE(B240),"N/A")</f>
        <v/>
      </c>
      <c r="S240" s="6">
        <f>IF(AND(N240&lt;&gt;"",O240&lt;&gt;""),IF(N240&gt;O240,"Above","At/Below"),"N/A")</f>
        <v/>
      </c>
    </row>
    <row r="241">
      <c r="A241" s="10" t="inlineStr">
        <is>
          <t>TRD-000240</t>
        </is>
      </c>
      <c r="B241" s="10" t="inlineStr">
        <is>
          <t>2024-11-26</t>
        </is>
      </c>
      <c r="C241" s="10" t="inlineStr">
        <is>
          <t>2024-11-28</t>
        </is>
      </c>
      <c r="D241" s="10" t="inlineStr">
        <is>
          <t>Gold</t>
        </is>
      </c>
      <c r="E241" s="10" t="inlineStr">
        <is>
          <t>XAU</t>
        </is>
      </c>
      <c r="F241" s="10" t="inlineStr">
        <is>
          <t>Precious Metals</t>
        </is>
      </c>
      <c r="G241" s="10" t="inlineStr">
        <is>
          <t>PM-PROP-01</t>
        </is>
      </c>
      <c r="H241" s="10" t="inlineStr">
        <is>
          <t>P. O'Brien</t>
        </is>
      </c>
      <c r="I241" s="10" t="inlineStr">
        <is>
          <t>Citibank NA</t>
        </is>
      </c>
      <c r="J241" s="10" t="inlineStr">
        <is>
          <t>Buy</t>
        </is>
      </c>
      <c r="K241" s="10" t="inlineStr">
        <is>
          <t>Spot</t>
        </is>
      </c>
      <c r="L241" s="11" t="n">
        <v>44000</v>
      </c>
      <c r="M241" s="10" t="inlineStr">
        <is>
          <t>troy oz</t>
        </is>
      </c>
      <c r="N241" s="12" t="n">
        <v>2257.183</v>
      </c>
      <c r="O241" s="12" t="n">
        <v>2261.6957</v>
      </c>
      <c r="P241" s="13" t="n">
        <v>99316052</v>
      </c>
      <c r="Q241" s="10" t="inlineStr">
        <is>
          <t>Cancelled</t>
        </is>
      </c>
      <c r="R241" s="10">
        <f>IFERROR(DATEVALUE(C241)-DATEVALUE(B241),"N/A")</f>
        <v/>
      </c>
      <c r="S241" s="10">
        <f>IF(AND(N241&lt;&gt;"",O241&lt;&gt;""),IF(N241&gt;O241,"Above","At/Below"),"N/A")</f>
        <v/>
      </c>
    </row>
    <row r="242">
      <c r="A242" s="6" t="inlineStr">
        <is>
          <t>TRD-000241</t>
        </is>
      </c>
      <c r="B242" s="6" t="inlineStr">
        <is>
          <t>2024-08-05</t>
        </is>
      </c>
      <c r="C242" s="6" t="inlineStr">
        <is>
          <t>2024-08-07</t>
        </is>
      </c>
      <c r="D242" s="6" t="inlineStr">
        <is>
          <t>Platinum</t>
        </is>
      </c>
      <c r="E242" s="6" t="inlineStr">
        <is>
          <t>XPT</t>
        </is>
      </c>
      <c r="F242" s="6" t="inlineStr">
        <is>
          <t>Precious Metals</t>
        </is>
      </c>
      <c r="G242" s="6" t="inlineStr">
        <is>
          <t>PM-CLIENT-01</t>
        </is>
      </c>
      <c r="H242" s="6" t="inlineStr">
        <is>
          <t>M. Patel</t>
        </is>
      </c>
      <c r="I242" s="6" t="inlineStr">
        <is>
          <t>UBS AG</t>
        </is>
      </c>
      <c r="J242" s="6" t="inlineStr">
        <is>
          <t>Sell</t>
        </is>
      </c>
      <c r="K242" s="6" t="inlineStr">
        <is>
          <t>Spot</t>
        </is>
      </c>
      <c r="L242" s="7" t="n">
        <v>44900</v>
      </c>
      <c r="M242" s="6" t="inlineStr">
        <is>
          <t>troy oz</t>
        </is>
      </c>
      <c r="N242" s="8" t="n">
        <v>1017.2253</v>
      </c>
      <c r="O242" s="8" t="n">
        <v>1016.6935</v>
      </c>
      <c r="P242" s="9" t="n">
        <v>45673415.97</v>
      </c>
      <c r="Q242" s="6" t="inlineStr">
        <is>
          <t>Pending</t>
        </is>
      </c>
      <c r="R242" s="6">
        <f>IFERROR(DATEVALUE(C242)-DATEVALUE(B242),"N/A")</f>
        <v/>
      </c>
      <c r="S242" s="6">
        <f>IF(AND(N242&lt;&gt;"",O242&lt;&gt;""),IF(N242&gt;O242,"Above","At/Below"),"N/A")</f>
        <v/>
      </c>
    </row>
    <row r="243">
      <c r="A243" s="10" t="inlineStr">
        <is>
          <t>TRD-000242</t>
        </is>
      </c>
      <c r="B243" s="10" t="inlineStr">
        <is>
          <t>2024-10-10</t>
        </is>
      </c>
      <c r="C243" s="10" t="inlineStr">
        <is>
          <t>2025-01-08</t>
        </is>
      </c>
      <c r="D243" s="10" t="inlineStr">
        <is>
          <t>Platinum</t>
        </is>
      </c>
      <c r="E243" s="10" t="inlineStr">
        <is>
          <t>XPT</t>
        </is>
      </c>
      <c r="F243" s="10" t="inlineStr">
        <is>
          <t>Precious Metals</t>
        </is>
      </c>
      <c r="G243" s="10" t="inlineStr">
        <is>
          <t>PM-PROP-01</t>
        </is>
      </c>
      <c r="H243" s="10" t="inlineStr">
        <is>
          <t>M. Patel</t>
        </is>
      </c>
      <c r="I243" s="10" t="inlineStr">
        <is>
          <t>Scotiabank</t>
        </is>
      </c>
      <c r="J243" s="10" t="inlineStr">
        <is>
          <t>Buy</t>
        </is>
      </c>
      <c r="K243" s="10" t="inlineStr">
        <is>
          <t>Spot</t>
        </is>
      </c>
      <c r="L243" s="11" t="n">
        <v>35900</v>
      </c>
      <c r="M243" s="10" t="inlineStr">
        <is>
          <t>troy oz</t>
        </is>
      </c>
      <c r="N243" s="12" t="n">
        <v>959.6315</v>
      </c>
      <c r="O243" s="12" t="n">
        <v>960.9399</v>
      </c>
      <c r="P243" s="13" t="n">
        <v>34450770.85</v>
      </c>
      <c r="Q243" s="10" t="inlineStr">
        <is>
          <t>Confirmed</t>
        </is>
      </c>
      <c r="R243" s="10">
        <f>IFERROR(DATEVALUE(C243)-DATEVALUE(B243),"N/A")</f>
        <v/>
      </c>
      <c r="S243" s="10">
        <f>IF(AND(N243&lt;&gt;"",O243&lt;&gt;""),IF(N243&gt;O243,"Above","At/Below"),"N/A")</f>
        <v/>
      </c>
    </row>
    <row r="244">
      <c r="A244" s="6" t="inlineStr">
        <is>
          <t>TRD-000243</t>
        </is>
      </c>
      <c r="B244" s="6" t="inlineStr">
        <is>
          <t>2024-06-11</t>
        </is>
      </c>
      <c r="C244" s="6" t="inlineStr">
        <is>
          <t>2024-07-11</t>
        </is>
      </c>
      <c r="D244" s="6" t="inlineStr">
        <is>
          <t>Silver</t>
        </is>
      </c>
      <c r="E244" s="6" t="inlineStr">
        <is>
          <t>XAG</t>
        </is>
      </c>
      <c r="F244" s="6" t="inlineStr">
        <is>
          <t>Precious Metals</t>
        </is>
      </c>
      <c r="G244" s="6" t="inlineStr">
        <is>
          <t>PM-PROP-01</t>
        </is>
      </c>
      <c r="H244" s="6" t="inlineStr">
        <is>
          <t>P. O'Brien</t>
        </is>
      </c>
      <c r="I244" s="6" t="inlineStr">
        <is>
          <t>BNP Paribas</t>
        </is>
      </c>
      <c r="J244" s="6" t="inlineStr">
        <is>
          <t>Buy</t>
        </is>
      </c>
      <c r="K244" s="6" t="inlineStr">
        <is>
          <t>Forward</t>
        </is>
      </c>
      <c r="L244" s="7" t="n">
        <v>500</v>
      </c>
      <c r="M244" s="6" t="inlineStr">
        <is>
          <t>troy oz</t>
        </is>
      </c>
      <c r="N244" s="8" t="n">
        <v>29.1209</v>
      </c>
      <c r="O244" s="8" t="n">
        <v>29.013</v>
      </c>
      <c r="P244" s="9" t="n">
        <v>14560.45</v>
      </c>
      <c r="Q244" s="6" t="inlineStr">
        <is>
          <t>Confirmed</t>
        </is>
      </c>
      <c r="R244" s="6">
        <f>IFERROR(DATEVALUE(C244)-DATEVALUE(B244),"N/A")</f>
        <v/>
      </c>
      <c r="S244" s="6">
        <f>IF(AND(N244&lt;&gt;"",O244&lt;&gt;""),IF(N244&gt;O244,"Above","At/Below"),"N/A")</f>
        <v/>
      </c>
    </row>
    <row r="245">
      <c r="A245" s="10" t="inlineStr">
        <is>
          <t>TRD-000244</t>
        </is>
      </c>
      <c r="B245" s="10" t="inlineStr">
        <is>
          <t>2024-10-02</t>
        </is>
      </c>
      <c r="C245" s="10" t="inlineStr">
        <is>
          <t>2024-10-04</t>
        </is>
      </c>
      <c r="D245" s="10" t="inlineStr">
        <is>
          <t>Silver</t>
        </is>
      </c>
      <c r="E245" s="10" t="inlineStr">
        <is>
          <t>XAG</t>
        </is>
      </c>
      <c r="F245" s="10" t="inlineStr">
        <is>
          <t>Precious Metals</t>
        </is>
      </c>
      <c r="G245" s="10" t="inlineStr">
        <is>
          <t>PM-PROP-01</t>
        </is>
      </c>
      <c r="H245" s="10" t="inlineStr">
        <is>
          <t>S. Okonkwo</t>
        </is>
      </c>
      <c r="I245" s="10" t="inlineStr">
        <is>
          <t>Deutsche Bank</t>
        </is>
      </c>
      <c r="J245" s="10" t="inlineStr">
        <is>
          <t>Buy</t>
        </is>
      </c>
      <c r="K245" s="10" t="inlineStr">
        <is>
          <t>Spot</t>
        </is>
      </c>
      <c r="L245" s="11" t="n">
        <v>5300</v>
      </c>
      <c r="M245" s="10" t="inlineStr">
        <is>
          <t>troy oz</t>
        </is>
      </c>
      <c r="N245" s="12" t="n">
        <v>29.2792</v>
      </c>
      <c r="O245" s="12" t="n">
        <v>29.1577</v>
      </c>
      <c r="P245" s="13" t="n">
        <v>155179.76</v>
      </c>
      <c r="Q245" s="10" t="inlineStr">
        <is>
          <t>Settled</t>
        </is>
      </c>
      <c r="R245" s="10">
        <f>IFERROR(DATEVALUE(C245)-DATEVALUE(B245),"N/A")</f>
        <v/>
      </c>
      <c r="S245" s="10">
        <f>IF(AND(N245&lt;&gt;"",O245&lt;&gt;""),IF(N245&gt;O245,"Above","At/Below"),"N/A")</f>
        <v/>
      </c>
    </row>
    <row r="246">
      <c r="A246" s="6" t="inlineStr">
        <is>
          <t>TRD-000245</t>
        </is>
      </c>
      <c r="B246" s="6" t="inlineStr">
        <is>
          <t>2024-04-12</t>
        </is>
      </c>
      <c r="C246" s="6" t="inlineStr">
        <is>
          <t>2024-04-14</t>
        </is>
      </c>
      <c r="D246" s="6" t="inlineStr">
        <is>
          <t>Platinum</t>
        </is>
      </c>
      <c r="E246" s="6" t="inlineStr">
        <is>
          <t>XPT</t>
        </is>
      </c>
      <c r="F246" s="6" t="inlineStr">
        <is>
          <t>Precious Metals</t>
        </is>
      </c>
      <c r="G246" s="6" t="inlineStr">
        <is>
          <t>PM-CLIENT-01</t>
        </is>
      </c>
      <c r="H246" s="6" t="inlineStr">
        <is>
          <t>S. Okonkwo</t>
        </is>
      </c>
      <c r="I246" s="6" t="inlineStr">
        <is>
          <t>Deutsche Bank</t>
        </is>
      </c>
      <c r="J246" s="6" t="inlineStr">
        <is>
          <t>Buy</t>
        </is>
      </c>
      <c r="K246" s="6" t="inlineStr">
        <is>
          <t>Spot</t>
        </is>
      </c>
      <c r="L246" s="7" t="n">
        <v>500</v>
      </c>
      <c r="M246" s="6" t="inlineStr">
        <is>
          <t>troy oz</t>
        </is>
      </c>
      <c r="N246" s="8" t="n">
        <v>985.9948000000001</v>
      </c>
      <c r="O246" s="8" t="n">
        <v>982.9897999999999</v>
      </c>
      <c r="P246" s="9" t="n">
        <v>492997.4</v>
      </c>
      <c r="Q246" s="6" t="inlineStr">
        <is>
          <t>Pending</t>
        </is>
      </c>
      <c r="R246" s="6">
        <f>IFERROR(DATEVALUE(C246)-DATEVALUE(B246),"N/A")</f>
        <v/>
      </c>
      <c r="S246" s="6">
        <f>IF(AND(N246&lt;&gt;"",O246&lt;&gt;""),IF(N246&gt;O246,"Above","At/Below"),"N/A")</f>
        <v/>
      </c>
    </row>
    <row r="247">
      <c r="A247" s="10" t="inlineStr">
        <is>
          <t>TRD-000246</t>
        </is>
      </c>
      <c r="B247" s="10" t="inlineStr">
        <is>
          <t>2024-03-04</t>
        </is>
      </c>
      <c r="C247" s="10" t="inlineStr">
        <is>
          <t>2024-03-06</t>
        </is>
      </c>
      <c r="D247" s="10" t="inlineStr">
        <is>
          <t>Nickel</t>
        </is>
      </c>
      <c r="E247" s="10" t="inlineStr">
        <is>
          <t>NI</t>
        </is>
      </c>
      <c r="F247" s="10" t="inlineStr">
        <is>
          <t>Base Metals</t>
        </is>
      </c>
      <c r="G247" s="10" t="inlineStr">
        <is>
          <t>BM-PROP-01</t>
        </is>
      </c>
      <c r="H247" s="10" t="inlineStr">
        <is>
          <t>S. Okonkwo</t>
        </is>
      </c>
      <c r="I247" s="10" t="inlineStr">
        <is>
          <t>Citibank NA</t>
        </is>
      </c>
      <c r="J247" s="10" t="inlineStr">
        <is>
          <t>Sell</t>
        </is>
      </c>
      <c r="K247" s="10" t="inlineStr">
        <is>
          <t>Spot</t>
        </is>
      </c>
      <c r="L247" s="11" t="n">
        <v>800</v>
      </c>
      <c r="M247" s="10" t="inlineStr">
        <is>
          <t>MT</t>
        </is>
      </c>
      <c r="N247" s="12" t="n">
        <v>16886.9895</v>
      </c>
      <c r="O247" s="12" t="n">
        <v>16870.023</v>
      </c>
      <c r="P247" s="13" t="n">
        <v>13509591.6</v>
      </c>
      <c r="Q247" s="10" t="inlineStr">
        <is>
          <t>Confirmed</t>
        </is>
      </c>
      <c r="R247" s="10">
        <f>IFERROR(DATEVALUE(C247)-DATEVALUE(B247),"N/A")</f>
        <v/>
      </c>
      <c r="S247" s="10">
        <f>IF(AND(N247&lt;&gt;"",O247&lt;&gt;""),IF(N247&gt;O247,"Above","At/Below"),"N/A")</f>
        <v/>
      </c>
    </row>
    <row r="248">
      <c r="A248" s="6" t="inlineStr">
        <is>
          <t>TRD-000247</t>
        </is>
      </c>
      <c r="B248" s="6" t="inlineStr">
        <is>
          <t>2024-07-23</t>
        </is>
      </c>
      <c r="C248" s="6" t="inlineStr">
        <is>
          <t>2024-10-21</t>
        </is>
      </c>
      <c r="D248" s="6" t="inlineStr">
        <is>
          <t>Silver</t>
        </is>
      </c>
      <c r="E248" s="6" t="inlineStr">
        <is>
          <t>XAG</t>
        </is>
      </c>
      <c r="F248" s="6" t="inlineStr">
        <is>
          <t>Precious Metals</t>
        </is>
      </c>
      <c r="G248" s="6" t="inlineStr">
        <is>
          <t>PM-PROP-01</t>
        </is>
      </c>
      <c r="H248" s="6" t="inlineStr">
        <is>
          <t>L. Chen</t>
        </is>
      </c>
      <c r="I248" s="6" t="inlineStr">
        <is>
          <t>BNP Paribas</t>
        </is>
      </c>
      <c r="J248" s="6" t="inlineStr">
        <is>
          <t>Sell</t>
        </is>
      </c>
      <c r="K248" s="6" t="inlineStr">
        <is>
          <t>Spot</t>
        </is>
      </c>
      <c r="L248" s="7" t="n">
        <v>43400</v>
      </c>
      <c r="M248" s="6" t="inlineStr">
        <is>
          <t>troy oz</t>
        </is>
      </c>
      <c r="N248" s="8" t="n">
        <v>27.2124</v>
      </c>
      <c r="O248" s="8" t="n">
        <v>27.1514</v>
      </c>
      <c r="P248" s="9" t="n">
        <v>1181018.16</v>
      </c>
      <c r="Q248" s="6" t="inlineStr">
        <is>
          <t>Confirmed</t>
        </is>
      </c>
      <c r="R248" s="6">
        <f>IFERROR(DATEVALUE(C248)-DATEVALUE(B248),"N/A")</f>
        <v/>
      </c>
      <c r="S248" s="6">
        <f>IF(AND(N248&lt;&gt;"",O248&lt;&gt;""),IF(N248&gt;O248,"Above","At/Below"),"N/A")</f>
        <v/>
      </c>
    </row>
    <row r="249">
      <c r="A249" s="10" t="inlineStr">
        <is>
          <t>TRD-000248</t>
        </is>
      </c>
      <c r="B249" s="10" t="inlineStr">
        <is>
          <t>2024-12-20</t>
        </is>
      </c>
      <c r="C249" s="10" t="inlineStr">
        <is>
          <t>2024-12-25</t>
        </is>
      </c>
      <c r="D249" s="10" t="inlineStr">
        <is>
          <t>Gold</t>
        </is>
      </c>
      <c r="E249" s="10" t="inlineStr">
        <is>
          <t>XAU</t>
        </is>
      </c>
      <c r="F249" s="10" t="inlineStr">
        <is>
          <t>Precious Metals</t>
        </is>
      </c>
      <c r="G249" s="10" t="inlineStr">
        <is>
          <t>PM-PROP-01</t>
        </is>
      </c>
      <c r="H249" s="10" t="inlineStr">
        <is>
          <t>R. Nakamura</t>
        </is>
      </c>
      <c r="I249" s="10" t="inlineStr">
        <is>
          <t>UBS AG</t>
        </is>
      </c>
      <c r="J249" s="10" t="inlineStr">
        <is>
          <t>Buy</t>
        </is>
      </c>
      <c r="K249" s="10" t="inlineStr">
        <is>
          <t>Forward</t>
        </is>
      </c>
      <c r="L249" s="11" t="n">
        <v>25600</v>
      </c>
      <c r="M249" s="10" t="inlineStr">
        <is>
          <t>troy oz</t>
        </is>
      </c>
      <c r="N249" s="12" t="n">
        <v>2269.9371</v>
      </c>
      <c r="O249" s="12" t="n">
        <v>2258.9948</v>
      </c>
      <c r="P249" s="13" t="n">
        <v>58110389.76</v>
      </c>
      <c r="Q249" s="10" t="inlineStr">
        <is>
          <t>Confirmed</t>
        </is>
      </c>
      <c r="R249" s="10">
        <f>IFERROR(DATEVALUE(C249)-DATEVALUE(B249),"N/A")</f>
        <v/>
      </c>
      <c r="S249" s="10">
        <f>IF(AND(N249&lt;&gt;"",O249&lt;&gt;""),IF(N249&gt;O249,"Above","At/Below"),"N/A")</f>
        <v/>
      </c>
    </row>
    <row r="250">
      <c r="A250" s="6" t="inlineStr">
        <is>
          <t>TRD-000249</t>
        </is>
      </c>
      <c r="B250" s="6" t="inlineStr">
        <is>
          <t>2024-05-03</t>
        </is>
      </c>
      <c r="C250" s="6" t="inlineStr">
        <is>
          <t>2024-05-08</t>
        </is>
      </c>
      <c r="D250" s="6" t="inlineStr">
        <is>
          <t>Zinc</t>
        </is>
      </c>
      <c r="E250" s="6" t="inlineStr">
        <is>
          <t>ZN</t>
        </is>
      </c>
      <c r="F250" s="6" t="inlineStr">
        <is>
          <t>Base Metals</t>
        </is>
      </c>
      <c r="G250" s="6" t="inlineStr">
        <is>
          <t>BM-HEDGE-01</t>
        </is>
      </c>
      <c r="H250" s="6" t="inlineStr">
        <is>
          <t>A. Dubois</t>
        </is>
      </c>
      <c r="I250" s="6" t="inlineStr">
        <is>
          <t>Citibank NA</t>
        </is>
      </c>
      <c r="J250" s="6" t="inlineStr">
        <is>
          <t>Buy</t>
        </is>
      </c>
      <c r="K250" s="6" t="inlineStr">
        <is>
          <t>Spot</t>
        </is>
      </c>
      <c r="L250" s="7" t="n">
        <v>4950</v>
      </c>
      <c r="M250" s="6" t="inlineStr">
        <is>
          <t>MT</t>
        </is>
      </c>
      <c r="N250" s="8" t="n">
        <v>2922.7761</v>
      </c>
      <c r="O250" s="8" t="n">
        <v>2927.2468</v>
      </c>
      <c r="P250" s="9" t="n">
        <v>14467741.7</v>
      </c>
      <c r="Q250" s="6" t="inlineStr">
        <is>
          <t>Confirmed</t>
        </is>
      </c>
      <c r="R250" s="6">
        <f>IFERROR(DATEVALUE(C250)-DATEVALUE(B250),"N/A")</f>
        <v/>
      </c>
      <c r="S250" s="6">
        <f>IF(AND(N250&lt;&gt;"",O250&lt;&gt;""),IF(N250&gt;O250,"Above","At/Below"),"N/A")</f>
        <v/>
      </c>
    </row>
    <row r="251">
      <c r="A251" s="10" t="inlineStr">
        <is>
          <t>TRD-000250</t>
        </is>
      </c>
      <c r="B251" s="10" t="inlineStr">
        <is>
          <t>2024-12-30</t>
        </is>
      </c>
      <c r="C251" s="10" t="inlineStr">
        <is>
          <t>2025-01-01</t>
        </is>
      </c>
      <c r="D251" s="10" t="inlineStr">
        <is>
          <t>Gold</t>
        </is>
      </c>
      <c r="E251" s="10" t="inlineStr">
        <is>
          <t>XAU</t>
        </is>
      </c>
      <c r="F251" s="10" t="inlineStr">
        <is>
          <t>Precious Metals</t>
        </is>
      </c>
      <c r="G251" s="10" t="inlineStr">
        <is>
          <t>PM-HEDGE-01</t>
        </is>
      </c>
      <c r="H251" s="10" t="inlineStr">
        <is>
          <t>S. Okonkwo</t>
        </is>
      </c>
      <c r="I251" s="10" t="inlineStr">
        <is>
          <t>JPMorgan Commodities</t>
        </is>
      </c>
      <c r="J251" s="10" t="inlineStr">
        <is>
          <t>Sell</t>
        </is>
      </c>
      <c r="K251" s="10" t="inlineStr">
        <is>
          <t>Spot</t>
        </is>
      </c>
      <c r="L251" s="11" t="n">
        <v>25700</v>
      </c>
      <c r="M251" s="10" t="inlineStr">
        <is>
          <t>troy oz</t>
        </is>
      </c>
      <c r="N251" s="12" t="n">
        <v>2382.1562</v>
      </c>
      <c r="O251" s="12" t="n">
        <v>2380.2141</v>
      </c>
      <c r="P251" s="13" t="n">
        <v>61221414.34</v>
      </c>
      <c r="Q251" s="10" t="inlineStr">
        <is>
          <t>Confirmed</t>
        </is>
      </c>
      <c r="R251" s="10">
        <f>IFERROR(DATEVALUE(C251)-DATEVALUE(B251),"N/A")</f>
        <v/>
      </c>
      <c r="S251" s="10">
        <f>IF(AND(N251&lt;&gt;"",O251&lt;&gt;""),IF(N251&gt;O251,"Above","At/Below"),"N/A")</f>
        <v/>
      </c>
    </row>
    <row r="252">
      <c r="A252" s="6" t="inlineStr">
        <is>
          <t>TRD-000251</t>
        </is>
      </c>
      <c r="B252" s="6" t="inlineStr">
        <is>
          <t>2024-05-27</t>
        </is>
      </c>
      <c r="C252" s="6" t="inlineStr">
        <is>
          <t>2024-05-29</t>
        </is>
      </c>
      <c r="D252" s="6" t="inlineStr">
        <is>
          <t>Silver</t>
        </is>
      </c>
      <c r="E252" s="6" t="inlineStr">
        <is>
          <t>XAG</t>
        </is>
      </c>
      <c r="F252" s="6" t="inlineStr">
        <is>
          <t>Precious Metals</t>
        </is>
      </c>
      <c r="G252" s="6" t="inlineStr">
        <is>
          <t>PM-CLIENT-01</t>
        </is>
      </c>
      <c r="H252" s="6" t="inlineStr">
        <is>
          <t>L. Chen</t>
        </is>
      </c>
      <c r="I252" s="6" t="inlineStr">
        <is>
          <t>Scotiabank</t>
        </is>
      </c>
      <c r="J252" s="6" t="inlineStr">
        <is>
          <t>Buy</t>
        </is>
      </c>
      <c r="K252" s="6" t="inlineStr">
        <is>
          <t>Spot</t>
        </is>
      </c>
      <c r="L252" s="7" t="n">
        <v>20100</v>
      </c>
      <c r="M252" s="6" t="inlineStr">
        <is>
          <t>troy oz</t>
        </is>
      </c>
      <c r="N252" s="8" t="n">
        <v>28.6341</v>
      </c>
      <c r="O252" s="8" t="n">
        <v>28.6037</v>
      </c>
      <c r="P252" s="9" t="n">
        <v>575545.41</v>
      </c>
      <c r="Q252" s="6" t="inlineStr">
        <is>
          <t>Confirmed</t>
        </is>
      </c>
      <c r="R252" s="6">
        <f>IFERROR(DATEVALUE(C252)-DATEVALUE(B252),"N/A")</f>
        <v/>
      </c>
      <c r="S252" s="6">
        <f>IF(AND(N252&lt;&gt;"",O252&lt;&gt;""),IF(N252&gt;O252,"Above","At/Below"),"N/A")</f>
        <v/>
      </c>
    </row>
    <row r="253">
      <c r="A253" s="10" t="inlineStr">
        <is>
          <t>TRD-000252</t>
        </is>
      </c>
      <c r="B253" s="10" t="inlineStr">
        <is>
          <t>2024-11-21</t>
        </is>
      </c>
      <c r="C253" s="10" t="inlineStr">
        <is>
          <t>2024-12-21</t>
        </is>
      </c>
      <c r="D253" s="10" t="inlineStr">
        <is>
          <t>Zinc</t>
        </is>
      </c>
      <c r="E253" s="10" t="inlineStr">
        <is>
          <t>ZN</t>
        </is>
      </c>
      <c r="F253" s="10" t="inlineStr">
        <is>
          <t>Base Metals</t>
        </is>
      </c>
      <c r="G253" s="10" t="inlineStr">
        <is>
          <t>BM-PROP-01</t>
        </is>
      </c>
      <c r="H253" s="10" t="inlineStr">
        <is>
          <t>J. Kowalski</t>
        </is>
      </c>
      <c r="I253" s="10" t="inlineStr">
        <is>
          <t>Standard Chartered</t>
        </is>
      </c>
      <c r="J253" s="10" t="inlineStr">
        <is>
          <t>Buy</t>
        </is>
      </c>
      <c r="K253" s="10" t="inlineStr">
        <is>
          <t>Spot</t>
        </is>
      </c>
      <c r="L253" s="11" t="n">
        <v>2000</v>
      </c>
      <c r="M253" s="10" t="inlineStr">
        <is>
          <t>MT</t>
        </is>
      </c>
      <c r="N253" s="12" t="n">
        <v>2838.838</v>
      </c>
      <c r="O253" s="12" t="n">
        <v>2830.4731</v>
      </c>
      <c r="P253" s="13" t="n">
        <v>5677676</v>
      </c>
      <c r="Q253" s="10" t="inlineStr">
        <is>
          <t>Confirmed</t>
        </is>
      </c>
      <c r="R253" s="10">
        <f>IFERROR(DATEVALUE(C253)-DATEVALUE(B253),"N/A")</f>
        <v/>
      </c>
      <c r="S253" s="10">
        <f>IF(AND(N253&lt;&gt;"",O253&lt;&gt;""),IF(N253&gt;O253,"Above","At/Below"),"N/A")</f>
        <v/>
      </c>
    </row>
    <row r="254">
      <c r="A254" s="6" t="inlineStr">
        <is>
          <t>TRD-000253</t>
        </is>
      </c>
      <c r="B254" s="6" t="inlineStr">
        <is>
          <t>2024-07-04</t>
        </is>
      </c>
      <c r="C254" s="6" t="inlineStr">
        <is>
          <t>2024-07-06</t>
        </is>
      </c>
      <c r="D254" s="6" t="inlineStr">
        <is>
          <t>Aluminium</t>
        </is>
      </c>
      <c r="E254" s="6" t="inlineStr">
        <is>
          <t>AL</t>
        </is>
      </c>
      <c r="F254" s="6" t="inlineStr">
        <is>
          <t>Base Metals</t>
        </is>
      </c>
      <c r="G254" s="6" t="inlineStr">
        <is>
          <t>BM-CLIENT-01</t>
        </is>
      </c>
      <c r="H254" s="6" t="inlineStr">
        <is>
          <t>J. Kowalski</t>
        </is>
      </c>
      <c r="I254" s="6" t="inlineStr">
        <is>
          <t>UBS AG</t>
        </is>
      </c>
      <c r="J254" s="6" t="inlineStr">
        <is>
          <t>Sell</t>
        </is>
      </c>
      <c r="K254" s="6" t="inlineStr">
        <is>
          <t>Forward</t>
        </is>
      </c>
      <c r="L254" s="7" t="n">
        <v>4800</v>
      </c>
      <c r="M254" s="6" t="inlineStr">
        <is>
          <t>MT</t>
        </is>
      </c>
      <c r="N254" s="8" t="n">
        <v>2415.7695</v>
      </c>
      <c r="O254" s="8" t="n">
        <v>2418.608</v>
      </c>
      <c r="P254" s="9" t="n">
        <v>11595693.6</v>
      </c>
      <c r="Q254" s="6" t="inlineStr">
        <is>
          <t>Settled</t>
        </is>
      </c>
      <c r="R254" s="6">
        <f>IFERROR(DATEVALUE(C254)-DATEVALUE(B254),"N/A")</f>
        <v/>
      </c>
      <c r="S254" s="6">
        <f>IF(AND(N254&lt;&gt;"",O254&lt;&gt;""),IF(N254&gt;O254,"Above","At/Below"),"N/A")</f>
        <v/>
      </c>
    </row>
    <row r="255">
      <c r="A255" s="10" t="inlineStr">
        <is>
          <t>TRD-000254</t>
        </is>
      </c>
      <c r="B255" s="10" t="inlineStr">
        <is>
          <t>2024-02-15</t>
        </is>
      </c>
      <c r="C255" s="10" t="inlineStr">
        <is>
          <t>2024-02-17</t>
        </is>
      </c>
      <c r="D255" s="10" t="inlineStr">
        <is>
          <t>Copper</t>
        </is>
      </c>
      <c r="E255" s="10" t="inlineStr">
        <is>
          <t>HG</t>
        </is>
      </c>
      <c r="F255" s="10" t="inlineStr">
        <is>
          <t>Base Metals</t>
        </is>
      </c>
      <c r="G255" s="10" t="inlineStr">
        <is>
          <t>BM-CLIENT-01</t>
        </is>
      </c>
      <c r="H255" s="10" t="inlineStr">
        <is>
          <t>J. Kowalski</t>
        </is>
      </c>
      <c r="I255" s="10" t="inlineStr">
        <is>
          <t>TD Securities</t>
        </is>
      </c>
      <c r="J255" s="10" t="inlineStr">
        <is>
          <t>Buy</t>
        </is>
      </c>
      <c r="K255" s="10" t="inlineStr">
        <is>
          <t>Spot</t>
        </is>
      </c>
      <c r="L255" s="11" t="n">
        <v>3700</v>
      </c>
      <c r="M255" s="10" t="inlineStr">
        <is>
          <t>lbs</t>
        </is>
      </c>
      <c r="N255" s="12" t="n">
        <v>4.2448</v>
      </c>
      <c r="O255" s="12" t="n">
        <v>4.2381</v>
      </c>
      <c r="P255" s="13" t="n">
        <v>15705.76</v>
      </c>
      <c r="Q255" s="10" t="inlineStr">
        <is>
          <t>Settled</t>
        </is>
      </c>
      <c r="R255" s="10">
        <f>IFERROR(DATEVALUE(C255)-DATEVALUE(B255),"N/A")</f>
        <v/>
      </c>
      <c r="S255" s="10">
        <f>IF(AND(N255&lt;&gt;"",O255&lt;&gt;""),IF(N255&gt;O255,"Above","At/Below"),"N/A")</f>
        <v/>
      </c>
    </row>
    <row r="256">
      <c r="A256" s="6" t="inlineStr">
        <is>
          <t>TRD-000255</t>
        </is>
      </c>
      <c r="B256" s="6" t="inlineStr">
        <is>
          <t>2024-04-23</t>
        </is>
      </c>
      <c r="C256" s="6" t="inlineStr">
        <is>
          <t>2024-04-25</t>
        </is>
      </c>
      <c r="D256" s="6" t="inlineStr">
        <is>
          <t>Platinum</t>
        </is>
      </c>
      <c r="E256" s="6" t="inlineStr">
        <is>
          <t>XPT</t>
        </is>
      </c>
      <c r="F256" s="6" t="inlineStr">
        <is>
          <t>Precious Metals</t>
        </is>
      </c>
      <c r="G256" s="6" t="inlineStr">
        <is>
          <t>PM-HEDGE-01</t>
        </is>
      </c>
      <c r="H256" s="6" t="inlineStr">
        <is>
          <t>J. Kowalski</t>
        </is>
      </c>
      <c r="I256" s="6" t="inlineStr">
        <is>
          <t>Scotiabank</t>
        </is>
      </c>
      <c r="J256" s="6" t="inlineStr">
        <is>
          <t>Buy</t>
        </is>
      </c>
      <c r="K256" s="6" t="inlineStr">
        <is>
          <t>Spot</t>
        </is>
      </c>
      <c r="L256" s="7" t="n">
        <v>45800</v>
      </c>
      <c r="M256" s="6" t="inlineStr">
        <is>
          <t>troy oz</t>
        </is>
      </c>
      <c r="N256" s="8" t="n">
        <v>1008.3586</v>
      </c>
      <c r="O256" s="8" t="n">
        <v>1006.7862</v>
      </c>
      <c r="P256" s="9" t="n">
        <v>46182823.88</v>
      </c>
      <c r="Q256" s="6" t="inlineStr">
        <is>
          <t>Confirmed</t>
        </is>
      </c>
      <c r="R256" s="6">
        <f>IFERROR(DATEVALUE(C256)-DATEVALUE(B256),"N/A")</f>
        <v/>
      </c>
      <c r="S256" s="6">
        <f>IF(AND(N256&lt;&gt;"",O256&lt;&gt;""),IF(N256&gt;O256,"Above","At/Below"),"N/A")</f>
        <v/>
      </c>
    </row>
    <row r="257">
      <c r="A257" s="10" t="inlineStr">
        <is>
          <t>TRD-000256</t>
        </is>
      </c>
      <c r="B257" s="10" t="inlineStr">
        <is>
          <t>2024-10-02</t>
        </is>
      </c>
      <c r="C257" s="10" t="inlineStr">
        <is>
          <t>2024-10-04</t>
        </is>
      </c>
      <c r="D257" s="10" t="inlineStr">
        <is>
          <t>Nickel</t>
        </is>
      </c>
      <c r="E257" s="10" t="inlineStr">
        <is>
          <t>NI</t>
        </is>
      </c>
      <c r="F257" s="10" t="inlineStr">
        <is>
          <t>Base Metals</t>
        </is>
      </c>
      <c r="G257" s="10" t="inlineStr">
        <is>
          <t>BM-HEDGE-01</t>
        </is>
      </c>
      <c r="H257" s="10" t="inlineStr">
        <is>
          <t>R. Nakamura</t>
        </is>
      </c>
      <c r="I257" s="10" t="inlineStr">
        <is>
          <t>JPMorgan Commodities</t>
        </is>
      </c>
      <c r="J257" s="10" t="inlineStr">
        <is>
          <t>Sell</t>
        </is>
      </c>
      <c r="K257" s="10" t="inlineStr">
        <is>
          <t>Spot</t>
        </is>
      </c>
      <c r="L257" s="11" t="n">
        <v>250</v>
      </c>
      <c r="M257" s="10" t="inlineStr">
        <is>
          <t>MT</t>
        </is>
      </c>
      <c r="N257" s="12" t="n">
        <v>16933.7411</v>
      </c>
      <c r="O257" s="12" t="n">
        <v>16938.1816</v>
      </c>
      <c r="P257" s="13" t="n">
        <v>4233435.27</v>
      </c>
      <c r="Q257" s="10" t="inlineStr">
        <is>
          <t>Settled</t>
        </is>
      </c>
      <c r="R257" s="10">
        <f>IFERROR(DATEVALUE(C257)-DATEVALUE(B257),"N/A")</f>
        <v/>
      </c>
      <c r="S257" s="10">
        <f>IF(AND(N257&lt;&gt;"",O257&lt;&gt;""),IF(N257&gt;O257,"Above","At/Below"),"N/A")</f>
        <v/>
      </c>
    </row>
    <row r="258">
      <c r="A258" s="6" t="inlineStr">
        <is>
          <t>TRD-000257</t>
        </is>
      </c>
      <c r="B258" s="6" t="inlineStr">
        <is>
          <t>2024-12-26</t>
        </is>
      </c>
      <c r="C258" s="6" t="inlineStr">
        <is>
          <t>2025-03-26</t>
        </is>
      </c>
      <c r="D258" s="6" t="inlineStr">
        <is>
          <t>Aluminium</t>
        </is>
      </c>
      <c r="E258" s="6" t="inlineStr">
        <is>
          <t>AL</t>
        </is>
      </c>
      <c r="F258" s="6" t="inlineStr">
        <is>
          <t>Base Metals</t>
        </is>
      </c>
      <c r="G258" s="6" t="inlineStr">
        <is>
          <t>BM-PROP-01</t>
        </is>
      </c>
      <c r="H258" s="6" t="inlineStr">
        <is>
          <t>P. O'Brien</t>
        </is>
      </c>
      <c r="I258" s="6" t="inlineStr">
        <is>
          <t>HSBC Metals</t>
        </is>
      </c>
      <c r="J258" s="6" t="inlineStr">
        <is>
          <t>Buy</t>
        </is>
      </c>
      <c r="K258" s="6" t="inlineStr">
        <is>
          <t>Option</t>
        </is>
      </c>
      <c r="L258" s="7" t="n">
        <v>1150</v>
      </c>
      <c r="M258" s="6" t="inlineStr">
        <is>
          <t>MT</t>
        </is>
      </c>
      <c r="N258" s="8" t="n">
        <v>2560.8863</v>
      </c>
      <c r="O258" s="8" t="n">
        <v>2548.4755</v>
      </c>
      <c r="P258" s="9" t="n">
        <v>2945019.25</v>
      </c>
      <c r="Q258" s="6" t="inlineStr">
        <is>
          <t>Settled</t>
        </is>
      </c>
      <c r="R258" s="6">
        <f>IFERROR(DATEVALUE(C258)-DATEVALUE(B258),"N/A")</f>
        <v/>
      </c>
      <c r="S258" s="6">
        <f>IF(AND(N258&lt;&gt;"",O258&lt;&gt;""),IF(N258&gt;O258,"Above","At/Below"),"N/A")</f>
        <v/>
      </c>
    </row>
    <row r="259">
      <c r="A259" s="10" t="inlineStr">
        <is>
          <t>TRD-000258</t>
        </is>
      </c>
      <c r="B259" s="10" t="inlineStr">
        <is>
          <t>2024-08-22</t>
        </is>
      </c>
      <c r="C259" s="10" t="inlineStr">
        <is>
          <t>2024-08-24</t>
        </is>
      </c>
      <c r="D259" s="10" t="inlineStr">
        <is>
          <t>Copper</t>
        </is>
      </c>
      <c r="E259" s="10" t="inlineStr">
        <is>
          <t>HG</t>
        </is>
      </c>
      <c r="F259" s="10" t="inlineStr">
        <is>
          <t>Base Metals</t>
        </is>
      </c>
      <c r="G259" s="10" t="inlineStr">
        <is>
          <t>BM-HEDGE-01</t>
        </is>
      </c>
      <c r="H259" s="10" t="inlineStr">
        <is>
          <t>A. Dubois</t>
        </is>
      </c>
      <c r="I259" s="10" t="inlineStr">
        <is>
          <t>BNP Paribas</t>
        </is>
      </c>
      <c r="J259" s="10" t="inlineStr">
        <is>
          <t>Sell</t>
        </is>
      </c>
      <c r="K259" s="10" t="inlineStr">
        <is>
          <t>Spot</t>
        </is>
      </c>
      <c r="L259" s="11" t="n">
        <v>75</v>
      </c>
      <c r="M259" s="10" t="inlineStr">
        <is>
          <t>lbs</t>
        </is>
      </c>
      <c r="N259" s="12" t="n">
        <v>4.1801</v>
      </c>
      <c r="O259" s="12" t="n">
        <v>4.172</v>
      </c>
      <c r="P259" s="13" t="n">
        <v>313.51</v>
      </c>
      <c r="Q259" s="10" t="inlineStr">
        <is>
          <t>Pending</t>
        </is>
      </c>
      <c r="R259" s="10">
        <f>IFERROR(DATEVALUE(C259)-DATEVALUE(B259),"N/A")</f>
        <v/>
      </c>
      <c r="S259" s="10">
        <f>IF(AND(N259&lt;&gt;"",O259&lt;&gt;""),IF(N259&gt;O259,"Above","At/Below"),"N/A")</f>
        <v/>
      </c>
    </row>
    <row r="260">
      <c r="A260" s="6" t="inlineStr">
        <is>
          <t>TRD-000259</t>
        </is>
      </c>
      <c r="B260" s="6" t="inlineStr">
        <is>
          <t>2024-12-19</t>
        </is>
      </c>
      <c r="C260" s="6" t="inlineStr">
        <is>
          <t>2024-12-21</t>
        </is>
      </c>
      <c r="D260" s="6" t="inlineStr">
        <is>
          <t>Nickel</t>
        </is>
      </c>
      <c r="E260" s="6" t="inlineStr">
        <is>
          <t>NI</t>
        </is>
      </c>
      <c r="F260" s="6" t="inlineStr">
        <is>
          <t>Base Metals</t>
        </is>
      </c>
      <c r="G260" s="6" t="inlineStr">
        <is>
          <t>BM-HEDGE-01</t>
        </is>
      </c>
      <c r="H260" s="6" t="inlineStr">
        <is>
          <t>J. Kowalski</t>
        </is>
      </c>
      <c r="I260" s="6" t="inlineStr">
        <is>
          <t>Citibank NA</t>
        </is>
      </c>
      <c r="J260" s="6" t="inlineStr">
        <is>
          <t>Buy</t>
        </is>
      </c>
      <c r="K260" s="6" t="inlineStr">
        <is>
          <t>Spot</t>
        </is>
      </c>
      <c r="L260" s="7" t="n">
        <v>3500</v>
      </c>
      <c r="M260" s="6" t="inlineStr">
        <is>
          <t>MT</t>
        </is>
      </c>
      <c r="N260" s="8" t="n">
        <v>17987.871</v>
      </c>
      <c r="O260" s="8" t="n">
        <v>17906.8108</v>
      </c>
      <c r="P260" s="9" t="n">
        <v>62957548.5</v>
      </c>
      <c r="Q260" s="6" t="inlineStr">
        <is>
          <t>Confirmed</t>
        </is>
      </c>
      <c r="R260" s="6">
        <f>IFERROR(DATEVALUE(C260)-DATEVALUE(B260),"N/A")</f>
        <v/>
      </c>
      <c r="S260" s="6">
        <f>IF(AND(N260&lt;&gt;"",O260&lt;&gt;""),IF(N260&gt;O260,"Above","At/Below"),"N/A")</f>
        <v/>
      </c>
    </row>
    <row r="261">
      <c r="A261" s="10" t="inlineStr">
        <is>
          <t>TRD-000260</t>
        </is>
      </c>
      <c r="B261" s="10" t="inlineStr">
        <is>
          <t>2024-01-02</t>
        </is>
      </c>
      <c r="C261" s="10" t="inlineStr">
        <is>
          <t>2024-04-01</t>
        </is>
      </c>
      <c r="D261" s="10" t="inlineStr">
        <is>
          <t>Gold</t>
        </is>
      </c>
      <c r="E261" s="10" t="inlineStr">
        <is>
          <t>XAU</t>
        </is>
      </c>
      <c r="F261" s="10" t="inlineStr">
        <is>
          <t>Precious Metals</t>
        </is>
      </c>
      <c r="G261" s="10" t="inlineStr">
        <is>
          <t>PM-HEDGE-01</t>
        </is>
      </c>
      <c r="H261" s="10" t="inlineStr">
        <is>
          <t>L. Chen</t>
        </is>
      </c>
      <c r="I261" s="10" t="inlineStr">
        <is>
          <t>Deutsche Bank</t>
        </is>
      </c>
      <c r="J261" s="10" t="inlineStr">
        <is>
          <t>Sell</t>
        </is>
      </c>
      <c r="K261" s="10" t="inlineStr">
        <is>
          <t>Spot</t>
        </is>
      </c>
      <c r="L261" s="11" t="n">
        <v>37800</v>
      </c>
      <c r="M261" s="10" t="inlineStr">
        <is>
          <t>troy oz</t>
        </is>
      </c>
      <c r="N261" s="12" t="n">
        <v>2324.8904</v>
      </c>
      <c r="O261" s="12" t="n">
        <v>2320.9246</v>
      </c>
      <c r="P261" s="13" t="n">
        <v>87880857.12</v>
      </c>
      <c r="Q261" s="10" t="inlineStr">
        <is>
          <t>Confirmed</t>
        </is>
      </c>
      <c r="R261" s="10">
        <f>IFERROR(DATEVALUE(C261)-DATEVALUE(B261),"N/A")</f>
        <v/>
      </c>
      <c r="S261" s="10">
        <f>IF(AND(N261&lt;&gt;"",O261&lt;&gt;""),IF(N261&gt;O261,"Above","At/Below"),"N/A")</f>
        <v/>
      </c>
    </row>
    <row r="262">
      <c r="A262" s="6" t="inlineStr">
        <is>
          <t>TRD-000261</t>
        </is>
      </c>
      <c r="B262" s="6" t="inlineStr">
        <is>
          <t>2024-07-19</t>
        </is>
      </c>
      <c r="C262" s="6" t="inlineStr">
        <is>
          <t>2024-07-21</t>
        </is>
      </c>
      <c r="D262" s="6" t="inlineStr">
        <is>
          <t>Gold</t>
        </is>
      </c>
      <c r="E262" s="6" t="inlineStr">
        <is>
          <t>XAU</t>
        </is>
      </c>
      <c r="F262" s="6" t="inlineStr">
        <is>
          <t>Precious Metals</t>
        </is>
      </c>
      <c r="G262" s="6" t="inlineStr">
        <is>
          <t>PM-PROP-01</t>
        </is>
      </c>
      <c r="H262" s="6" t="inlineStr">
        <is>
          <t>M. Patel</t>
        </is>
      </c>
      <c r="I262" s="6" t="inlineStr">
        <is>
          <t>Goldman Sachs</t>
        </is>
      </c>
      <c r="J262" s="6" t="inlineStr">
        <is>
          <t>Sell</t>
        </is>
      </c>
      <c r="K262" s="6" t="inlineStr">
        <is>
          <t>Forward</t>
        </is>
      </c>
      <c r="L262" s="7" t="n">
        <v>11900</v>
      </c>
      <c r="M262" s="6" t="inlineStr">
        <is>
          <t>troy oz</t>
        </is>
      </c>
      <c r="N262" s="8" t="n">
        <v>2244.179</v>
      </c>
      <c r="O262" s="8" t="n">
        <v>2242.8166</v>
      </c>
      <c r="P262" s="9" t="n">
        <v>26705730.1</v>
      </c>
      <c r="Q262" s="6" t="inlineStr">
        <is>
          <t>Confirmed</t>
        </is>
      </c>
      <c r="R262" s="6">
        <f>IFERROR(DATEVALUE(C262)-DATEVALUE(B262),"N/A")</f>
        <v/>
      </c>
      <c r="S262" s="6">
        <f>IF(AND(N262&lt;&gt;"",O262&lt;&gt;""),IF(N262&gt;O262,"Above","At/Below"),"N/A")</f>
        <v/>
      </c>
    </row>
    <row r="263">
      <c r="A263" s="10" t="inlineStr">
        <is>
          <t>TRD-000262</t>
        </is>
      </c>
      <c r="B263" s="10" t="inlineStr">
        <is>
          <t>2024-10-09</t>
        </is>
      </c>
      <c r="C263" s="10" t="inlineStr">
        <is>
          <t>2024-10-11</t>
        </is>
      </c>
      <c r="D263" s="10" t="inlineStr">
        <is>
          <t>Platinum</t>
        </is>
      </c>
      <c r="E263" s="10" t="inlineStr">
        <is>
          <t>XPT</t>
        </is>
      </c>
      <c r="F263" s="10" t="inlineStr">
        <is>
          <t>Precious Metals</t>
        </is>
      </c>
      <c r="G263" s="10" t="inlineStr">
        <is>
          <t>PM-CLIENT-01</t>
        </is>
      </c>
      <c r="H263" s="10" t="inlineStr">
        <is>
          <t>A. Dubois</t>
        </is>
      </c>
      <c r="I263" s="10" t="inlineStr">
        <is>
          <t>JPMorgan Commodities</t>
        </is>
      </c>
      <c r="J263" s="10" t="inlineStr">
        <is>
          <t>Sell</t>
        </is>
      </c>
      <c r="K263" s="10" t="inlineStr">
        <is>
          <t>Forward</t>
        </is>
      </c>
      <c r="L263" s="11" t="n">
        <v>3200</v>
      </c>
      <c r="M263" s="10" t="inlineStr">
        <is>
          <t>troy oz</t>
        </is>
      </c>
      <c r="N263" s="12" t="n">
        <v>987.9327</v>
      </c>
      <c r="O263" s="12" t="n">
        <v>989.0058</v>
      </c>
      <c r="P263" s="13" t="n">
        <v>3161384.64</v>
      </c>
      <c r="Q263" s="10" t="inlineStr">
        <is>
          <t>Settled</t>
        </is>
      </c>
      <c r="R263" s="10">
        <f>IFERROR(DATEVALUE(C263)-DATEVALUE(B263),"N/A")</f>
        <v/>
      </c>
      <c r="S263" s="10">
        <f>IF(AND(N263&lt;&gt;"",O263&lt;&gt;""),IF(N263&gt;O263,"Above","At/Below"),"N/A")</f>
        <v/>
      </c>
    </row>
    <row r="264">
      <c r="A264" s="6" t="inlineStr">
        <is>
          <t>TRD-000263</t>
        </is>
      </c>
      <c r="B264" s="6" t="inlineStr">
        <is>
          <t>2024-08-22</t>
        </is>
      </c>
      <c r="C264" s="6" t="inlineStr">
        <is>
          <t>2024-08-24</t>
        </is>
      </c>
      <c r="D264" s="6" t="inlineStr">
        <is>
          <t>Zinc</t>
        </is>
      </c>
      <c r="E264" s="6" t="inlineStr">
        <is>
          <t>ZN</t>
        </is>
      </c>
      <c r="F264" s="6" t="inlineStr">
        <is>
          <t>Base Metals</t>
        </is>
      </c>
      <c r="G264" s="6" t="inlineStr">
        <is>
          <t>BM-CLIENT-01</t>
        </is>
      </c>
      <c r="H264" s="6" t="inlineStr">
        <is>
          <t>M. Patel</t>
        </is>
      </c>
      <c r="I264" s="6" t="inlineStr">
        <is>
          <t>Standard Chartered</t>
        </is>
      </c>
      <c r="J264" s="6" t="inlineStr">
        <is>
          <t>Buy</t>
        </is>
      </c>
      <c r="K264" s="6" t="inlineStr">
        <is>
          <t>Swap</t>
        </is>
      </c>
      <c r="L264" s="7" t="n">
        <v>1500</v>
      </c>
      <c r="M264" s="6" t="inlineStr">
        <is>
          <t>MT</t>
        </is>
      </c>
      <c r="N264" s="8" t="n">
        <v>2783.8538</v>
      </c>
      <c r="O264" s="8" t="n">
        <v>2786.7722</v>
      </c>
      <c r="P264" s="9" t="n">
        <v>4175780.7</v>
      </c>
      <c r="Q264" s="6" t="inlineStr">
        <is>
          <t>Confirmed</t>
        </is>
      </c>
      <c r="R264" s="6">
        <f>IFERROR(DATEVALUE(C264)-DATEVALUE(B264),"N/A")</f>
        <v/>
      </c>
      <c r="S264" s="6">
        <f>IF(AND(N264&lt;&gt;"",O264&lt;&gt;""),IF(N264&gt;O264,"Above","At/Below"),"N/A")</f>
        <v/>
      </c>
    </row>
    <row r="265">
      <c r="A265" s="10" t="inlineStr">
        <is>
          <t>TRD-000264</t>
        </is>
      </c>
      <c r="B265" s="10" t="inlineStr">
        <is>
          <t>2024-08-13</t>
        </is>
      </c>
      <c r="C265" s="10" t="inlineStr">
        <is>
          <t>2024-08-18</t>
        </is>
      </c>
      <c r="D265" s="10" t="inlineStr">
        <is>
          <t>Nickel</t>
        </is>
      </c>
      <c r="E265" s="10" t="inlineStr">
        <is>
          <t>NI</t>
        </is>
      </c>
      <c r="F265" s="10" t="inlineStr">
        <is>
          <t>Base Metals</t>
        </is>
      </c>
      <c r="G265" s="10" t="inlineStr">
        <is>
          <t>BM-HEDGE-01</t>
        </is>
      </c>
      <c r="H265" s="10" t="inlineStr">
        <is>
          <t>M. Patel</t>
        </is>
      </c>
      <c r="I265" s="10" t="inlineStr">
        <is>
          <t>HSBC Metals</t>
        </is>
      </c>
      <c r="J265" s="10" t="inlineStr">
        <is>
          <t>Buy</t>
        </is>
      </c>
      <c r="K265" s="10" t="inlineStr">
        <is>
          <t>Spot</t>
        </is>
      </c>
      <c r="L265" s="11" t="n">
        <v>2300</v>
      </c>
      <c r="M265" s="10" t="inlineStr">
        <is>
          <t>MT</t>
        </is>
      </c>
      <c r="N265" s="12" t="n">
        <v>16857.224</v>
      </c>
      <c r="O265" s="12" t="n">
        <v>16836.2893</v>
      </c>
      <c r="P265" s="13" t="n">
        <v>38771615.2</v>
      </c>
      <c r="Q265" s="10" t="inlineStr">
        <is>
          <t>Confirmed</t>
        </is>
      </c>
      <c r="R265" s="10">
        <f>IFERROR(DATEVALUE(C265)-DATEVALUE(B265),"N/A")</f>
        <v/>
      </c>
      <c r="S265" s="10">
        <f>IF(AND(N265&lt;&gt;"",O265&lt;&gt;""),IF(N265&gt;O265,"Above","At/Below"),"N/A")</f>
        <v/>
      </c>
    </row>
    <row r="266">
      <c r="A266" s="6" t="inlineStr">
        <is>
          <t>TRD-000265</t>
        </is>
      </c>
      <c r="B266" s="6" t="inlineStr">
        <is>
          <t>2024-01-30</t>
        </is>
      </c>
      <c r="C266" s="6" t="inlineStr">
        <is>
          <t>2024-02-01</t>
        </is>
      </c>
      <c r="D266" s="6" t="inlineStr">
        <is>
          <t>Copper</t>
        </is>
      </c>
      <c r="E266" s="6" t="inlineStr">
        <is>
          <t>HG</t>
        </is>
      </c>
      <c r="F266" s="6" t="inlineStr">
        <is>
          <t>Base Metals</t>
        </is>
      </c>
      <c r="G266" s="6" t="inlineStr">
        <is>
          <t>BM-CLIENT-01</t>
        </is>
      </c>
      <c r="H266" s="6" t="inlineStr">
        <is>
          <t>R. Nakamura</t>
        </is>
      </c>
      <c r="I266" s="6" t="inlineStr">
        <is>
          <t>Deutsche Bank</t>
        </is>
      </c>
      <c r="J266" s="6" t="inlineStr">
        <is>
          <t>Buy</t>
        </is>
      </c>
      <c r="K266" s="6" t="inlineStr">
        <is>
          <t>Spot</t>
        </is>
      </c>
      <c r="L266" s="7" t="n">
        <v>2100</v>
      </c>
      <c r="M266" s="6" t="inlineStr">
        <is>
          <t>lbs</t>
        </is>
      </c>
      <c r="N266" s="8" t="n">
        <v>4.2883</v>
      </c>
      <c r="O266" s="8" t="n">
        <v>4.2894</v>
      </c>
      <c r="P266" s="9" t="n">
        <v>9005.43</v>
      </c>
      <c r="Q266" s="6" t="inlineStr">
        <is>
          <t>Confirmed</t>
        </is>
      </c>
      <c r="R266" s="6">
        <f>IFERROR(DATEVALUE(C266)-DATEVALUE(B266),"N/A")</f>
        <v/>
      </c>
      <c r="S266" s="6">
        <f>IF(AND(N266&lt;&gt;"",O266&lt;&gt;""),IF(N266&gt;O266,"Above","At/Below"),"N/A")</f>
        <v/>
      </c>
    </row>
    <row r="267">
      <c r="A267" s="10" t="inlineStr">
        <is>
          <t>TRD-000266</t>
        </is>
      </c>
      <c r="B267" s="10" t="inlineStr">
        <is>
          <t>2024-05-06</t>
        </is>
      </c>
      <c r="C267" s="10" t="inlineStr">
        <is>
          <t>2024-05-08</t>
        </is>
      </c>
      <c r="D267" s="10" t="inlineStr">
        <is>
          <t>Copper</t>
        </is>
      </c>
      <c r="E267" s="10" t="inlineStr">
        <is>
          <t>HG</t>
        </is>
      </c>
      <c r="F267" s="10" t="inlineStr">
        <is>
          <t>Base Metals</t>
        </is>
      </c>
      <c r="G267" s="10" t="inlineStr">
        <is>
          <t>BM-HEDGE-01</t>
        </is>
      </c>
      <c r="H267" s="10" t="inlineStr">
        <is>
          <t>S. Okonkwo</t>
        </is>
      </c>
      <c r="I267" s="10" t="inlineStr">
        <is>
          <t>HSBC Metals</t>
        </is>
      </c>
      <c r="J267" s="10" t="inlineStr">
        <is>
          <t>Buy</t>
        </is>
      </c>
      <c r="K267" s="10" t="inlineStr">
        <is>
          <t>Spot</t>
        </is>
      </c>
      <c r="L267" s="11" t="n">
        <v>2900</v>
      </c>
      <c r="M267" s="10" t="inlineStr">
        <is>
          <t>lbs</t>
        </is>
      </c>
      <c r="N267" s="12" t="n">
        <v>4.332</v>
      </c>
      <c r="O267" s="12" t="n">
        <v>4.3376</v>
      </c>
      <c r="P267" s="13" t="n">
        <v>12562.8</v>
      </c>
      <c r="Q267" s="10" t="inlineStr">
        <is>
          <t>Confirmed</t>
        </is>
      </c>
      <c r="R267" s="10">
        <f>IFERROR(DATEVALUE(C267)-DATEVALUE(B267),"N/A")</f>
        <v/>
      </c>
      <c r="S267" s="10">
        <f>IF(AND(N267&lt;&gt;"",O267&lt;&gt;""),IF(N267&gt;O267,"Above","At/Below"),"N/A")</f>
        <v/>
      </c>
    </row>
    <row r="268">
      <c r="A268" s="6" t="inlineStr">
        <is>
          <t>TRD-000267</t>
        </is>
      </c>
      <c r="B268" s="6" t="inlineStr">
        <is>
          <t>2024-05-22</t>
        </is>
      </c>
      <c r="C268" s="6" t="inlineStr">
        <is>
          <t>2024-05-27</t>
        </is>
      </c>
      <c r="D268" s="6" t="inlineStr">
        <is>
          <t>Palladium</t>
        </is>
      </c>
      <c r="E268" s="6" t="inlineStr">
        <is>
          <t>XPD</t>
        </is>
      </c>
      <c r="F268" s="6" t="inlineStr">
        <is>
          <t>Precious Metals</t>
        </is>
      </c>
      <c r="G268" s="6" t="inlineStr">
        <is>
          <t>PM-PROP-01</t>
        </is>
      </c>
      <c r="H268" s="6" t="inlineStr">
        <is>
          <t>M. Patel</t>
        </is>
      </c>
      <c r="I268" s="6" t="inlineStr">
        <is>
          <t>Scotiabank</t>
        </is>
      </c>
      <c r="J268" s="6" t="inlineStr">
        <is>
          <t>Buy</t>
        </is>
      </c>
      <c r="K268" s="6" t="inlineStr">
        <is>
          <t>Forward</t>
        </is>
      </c>
      <c r="L268" s="7" t="n">
        <v>32300</v>
      </c>
      <c r="M268" s="6" t="inlineStr">
        <is>
          <t>troy oz</t>
        </is>
      </c>
      <c r="N268" s="8" t="n">
        <v>1036.3901</v>
      </c>
      <c r="O268" s="8" t="n">
        <v>1036.5852</v>
      </c>
      <c r="P268" s="9" t="n">
        <v>33475400.23</v>
      </c>
      <c r="Q268" s="6" t="inlineStr">
        <is>
          <t>Cancelled</t>
        </is>
      </c>
      <c r="R268" s="6">
        <f>IFERROR(DATEVALUE(C268)-DATEVALUE(B268),"N/A")</f>
        <v/>
      </c>
      <c r="S268" s="6">
        <f>IF(AND(N268&lt;&gt;"",O268&lt;&gt;""),IF(N268&gt;O268,"Above","At/Below"),"N/A")</f>
        <v/>
      </c>
    </row>
    <row r="269">
      <c r="A269" s="10" t="inlineStr">
        <is>
          <t>TRD-000268</t>
        </is>
      </c>
      <c r="B269" s="10" t="inlineStr">
        <is>
          <t>2024-11-14</t>
        </is>
      </c>
      <c r="C269" s="10" t="inlineStr">
        <is>
          <t>2024-11-16</t>
        </is>
      </c>
      <c r="D269" s="10" t="inlineStr">
        <is>
          <t>Palladium</t>
        </is>
      </c>
      <c r="E269" s="10" t="inlineStr">
        <is>
          <t>XPD</t>
        </is>
      </c>
      <c r="F269" s="10" t="inlineStr">
        <is>
          <t>Precious Metals</t>
        </is>
      </c>
      <c r="G269" s="10" t="inlineStr">
        <is>
          <t>PM-CLIENT-01</t>
        </is>
      </c>
      <c r="H269" s="10" t="inlineStr">
        <is>
          <t>J. Kowalski</t>
        </is>
      </c>
      <c r="I269" s="10" t="inlineStr">
        <is>
          <t>Standard Chartered</t>
        </is>
      </c>
      <c r="J269" s="10" t="inlineStr">
        <is>
          <t>Sell</t>
        </is>
      </c>
      <c r="K269" s="10" t="inlineStr">
        <is>
          <t>Spot</t>
        </is>
      </c>
      <c r="L269" s="11" t="n">
        <v>43400</v>
      </c>
      <c r="M269" s="10" t="inlineStr">
        <is>
          <t>troy oz</t>
        </is>
      </c>
      <c r="N269" s="12" t="n">
        <v>1011.7867</v>
      </c>
      <c r="O269" s="12" t="n">
        <v>1007.1578</v>
      </c>
      <c r="P269" s="13" t="n">
        <v>43911542.78</v>
      </c>
      <c r="Q269" s="10" t="inlineStr">
        <is>
          <t>Settled</t>
        </is>
      </c>
      <c r="R269" s="10">
        <f>IFERROR(DATEVALUE(C269)-DATEVALUE(B269),"N/A")</f>
        <v/>
      </c>
      <c r="S269" s="10">
        <f>IF(AND(N269&lt;&gt;"",O269&lt;&gt;""),IF(N269&gt;O269,"Above","At/Below"),"N/A")</f>
        <v/>
      </c>
    </row>
    <row r="270">
      <c r="A270" s="6" t="inlineStr">
        <is>
          <t>TRD-000269</t>
        </is>
      </c>
      <c r="B270" s="6" t="inlineStr">
        <is>
          <t>2024-10-10</t>
        </is>
      </c>
      <c r="C270" s="6" t="inlineStr">
        <is>
          <t>2024-10-15</t>
        </is>
      </c>
      <c r="D270" s="6" t="inlineStr">
        <is>
          <t>Zinc</t>
        </is>
      </c>
      <c r="E270" s="6" t="inlineStr">
        <is>
          <t>ZN</t>
        </is>
      </c>
      <c r="F270" s="6" t="inlineStr">
        <is>
          <t>Base Metals</t>
        </is>
      </c>
      <c r="G270" s="6" t="inlineStr">
        <is>
          <t>BM-CLIENT-01</t>
        </is>
      </c>
      <c r="H270" s="6" t="inlineStr">
        <is>
          <t>S. Okonkwo</t>
        </is>
      </c>
      <c r="I270" s="6" t="inlineStr">
        <is>
          <t>JPMorgan Commodities</t>
        </is>
      </c>
      <c r="J270" s="6" t="inlineStr">
        <is>
          <t>Sell</t>
        </is>
      </c>
      <c r="K270" s="6" t="inlineStr">
        <is>
          <t>Spot</t>
        </is>
      </c>
      <c r="L270" s="7" t="n">
        <v>4375</v>
      </c>
      <c r="M270" s="6" t="inlineStr">
        <is>
          <t>MT</t>
        </is>
      </c>
      <c r="N270" s="8" t="n">
        <v>2666.9289</v>
      </c>
      <c r="O270" s="8" t="n">
        <v>2668.255</v>
      </c>
      <c r="P270" s="9" t="n">
        <v>11667813.94</v>
      </c>
      <c r="Q270" s="6" t="inlineStr">
        <is>
          <t>Confirmed</t>
        </is>
      </c>
      <c r="R270" s="6">
        <f>IFERROR(DATEVALUE(C270)-DATEVALUE(B270),"N/A")</f>
        <v/>
      </c>
      <c r="S270" s="6">
        <f>IF(AND(N270&lt;&gt;"",O270&lt;&gt;""),IF(N270&gt;O270,"Above","At/Below"),"N/A")</f>
        <v/>
      </c>
    </row>
    <row r="271">
      <c r="A271" s="10" t="inlineStr">
        <is>
          <t>TRD-000270</t>
        </is>
      </c>
      <c r="B271" s="10" t="inlineStr">
        <is>
          <t>2024-06-25</t>
        </is>
      </c>
      <c r="C271" s="10" t="inlineStr">
        <is>
          <t>2024-09-23</t>
        </is>
      </c>
      <c r="D271" s="10" t="inlineStr">
        <is>
          <t>Platinum</t>
        </is>
      </c>
      <c r="E271" s="10" t="inlineStr">
        <is>
          <t>XPT</t>
        </is>
      </c>
      <c r="F271" s="10" t="inlineStr">
        <is>
          <t>Precious Metals</t>
        </is>
      </c>
      <c r="G271" s="10" t="inlineStr">
        <is>
          <t>PM-PROP-01</t>
        </is>
      </c>
      <c r="H271" s="10" t="inlineStr">
        <is>
          <t>S. Okonkwo</t>
        </is>
      </c>
      <c r="I271" s="10" t="inlineStr">
        <is>
          <t>Deutsche Bank</t>
        </is>
      </c>
      <c r="J271" s="10" t="inlineStr">
        <is>
          <t>Sell</t>
        </is>
      </c>
      <c r="K271" s="10" t="inlineStr">
        <is>
          <t>Spot</t>
        </is>
      </c>
      <c r="L271" s="11" t="n">
        <v>21100</v>
      </c>
      <c r="M271" s="10" t="inlineStr">
        <is>
          <t>troy oz</t>
        </is>
      </c>
      <c r="N271" s="12" t="n">
        <v>959.8804</v>
      </c>
      <c r="O271" s="12" t="n">
        <v>959.9203</v>
      </c>
      <c r="P271" s="13" t="n">
        <v>20253476.44</v>
      </c>
      <c r="Q271" s="10" t="inlineStr">
        <is>
          <t>Confirmed</t>
        </is>
      </c>
      <c r="R271" s="10">
        <f>IFERROR(DATEVALUE(C271)-DATEVALUE(B271),"N/A")</f>
        <v/>
      </c>
      <c r="S271" s="10">
        <f>IF(AND(N271&lt;&gt;"",O271&lt;&gt;""),IF(N271&gt;O271,"Above","At/Below"),"N/A")</f>
        <v/>
      </c>
    </row>
    <row r="272">
      <c r="A272" s="6" t="inlineStr">
        <is>
          <t>TRD-000271</t>
        </is>
      </c>
      <c r="B272" s="6" t="inlineStr">
        <is>
          <t>2024-01-15</t>
        </is>
      </c>
      <c r="C272" s="6" t="inlineStr">
        <is>
          <t>2024-01-20</t>
        </is>
      </c>
      <c r="D272" s="6" t="inlineStr">
        <is>
          <t>Palladium</t>
        </is>
      </c>
      <c r="E272" s="6" t="inlineStr">
        <is>
          <t>XPD</t>
        </is>
      </c>
      <c r="F272" s="6" t="inlineStr">
        <is>
          <t>Precious Metals</t>
        </is>
      </c>
      <c r="G272" s="6" t="inlineStr">
        <is>
          <t>PM-CLIENT-01</t>
        </is>
      </c>
      <c r="H272" s="6" t="inlineStr">
        <is>
          <t>R. Nakamura</t>
        </is>
      </c>
      <c r="I272" s="6" t="inlineStr">
        <is>
          <t>Deutsche Bank</t>
        </is>
      </c>
      <c r="J272" s="6" t="inlineStr">
        <is>
          <t>Sell</t>
        </is>
      </c>
      <c r="K272" s="6" t="inlineStr">
        <is>
          <t>Forward</t>
        </is>
      </c>
      <c r="L272" s="7" t="n">
        <v>18400</v>
      </c>
      <c r="M272" s="6" t="inlineStr">
        <is>
          <t>troy oz</t>
        </is>
      </c>
      <c r="N272" s="8" t="n">
        <v>1081.1048</v>
      </c>
      <c r="O272" s="8" t="n">
        <v>1079.6012</v>
      </c>
      <c r="P272" s="9" t="n">
        <v>19892328.32</v>
      </c>
      <c r="Q272" s="6" t="inlineStr">
        <is>
          <t>Confirmed</t>
        </is>
      </c>
      <c r="R272" s="6">
        <f>IFERROR(DATEVALUE(C272)-DATEVALUE(B272),"N/A")</f>
        <v/>
      </c>
      <c r="S272" s="6">
        <f>IF(AND(N272&lt;&gt;"",O272&lt;&gt;""),IF(N272&gt;O272,"Above","At/Below"),"N/A")</f>
        <v/>
      </c>
    </row>
    <row r="273">
      <c r="A273" s="10" t="inlineStr">
        <is>
          <t>TRD-000272</t>
        </is>
      </c>
      <c r="B273" s="10" t="inlineStr">
        <is>
          <t>2024-06-06</t>
        </is>
      </c>
      <c r="C273" s="10" t="inlineStr">
        <is>
          <t>2024-06-08</t>
        </is>
      </c>
      <c r="D273" s="10" t="inlineStr">
        <is>
          <t>Gold</t>
        </is>
      </c>
      <c r="E273" s="10" t="inlineStr">
        <is>
          <t>XAU</t>
        </is>
      </c>
      <c r="F273" s="10" t="inlineStr">
        <is>
          <t>Precious Metals</t>
        </is>
      </c>
      <c r="G273" s="10" t="inlineStr">
        <is>
          <t>PM-HEDGE-01</t>
        </is>
      </c>
      <c r="H273" s="10" t="inlineStr">
        <is>
          <t>R. Nakamura</t>
        </is>
      </c>
      <c r="I273" s="10" t="inlineStr">
        <is>
          <t>Goldman Sachs</t>
        </is>
      </c>
      <c r="J273" s="10" t="inlineStr">
        <is>
          <t>Sell</t>
        </is>
      </c>
      <c r="K273" s="10" t="inlineStr">
        <is>
          <t>Spot</t>
        </is>
      </c>
      <c r="L273" s="11" t="n">
        <v>39900</v>
      </c>
      <c r="M273" s="10" t="inlineStr">
        <is>
          <t>troy oz</t>
        </is>
      </c>
      <c r="N273" s="12" t="n">
        <v>2455.0749</v>
      </c>
      <c r="O273" s="12" t="n">
        <v>2443.0047</v>
      </c>
      <c r="P273" s="13" t="n">
        <v>97957488.51000001</v>
      </c>
      <c r="Q273" s="10" t="inlineStr">
        <is>
          <t>Cancelled</t>
        </is>
      </c>
      <c r="R273" s="10">
        <f>IFERROR(DATEVALUE(C273)-DATEVALUE(B273),"N/A")</f>
        <v/>
      </c>
      <c r="S273" s="10">
        <f>IF(AND(N273&lt;&gt;"",O273&lt;&gt;""),IF(N273&gt;O273,"Above","At/Below"),"N/A")</f>
        <v/>
      </c>
    </row>
    <row r="274">
      <c r="A274" s="6" t="inlineStr">
        <is>
          <t>TRD-000273</t>
        </is>
      </c>
      <c r="B274" s="6" t="inlineStr">
        <is>
          <t>2024-06-26</t>
        </is>
      </c>
      <c r="C274" s="6" t="inlineStr">
        <is>
          <t>2024-09-24</t>
        </is>
      </c>
      <c r="D274" s="6" t="inlineStr">
        <is>
          <t>Platinum</t>
        </is>
      </c>
      <c r="E274" s="6" t="inlineStr">
        <is>
          <t>XPT</t>
        </is>
      </c>
      <c r="F274" s="6" t="inlineStr">
        <is>
          <t>Precious Metals</t>
        </is>
      </c>
      <c r="G274" s="6" t="inlineStr">
        <is>
          <t>PM-PROP-01</t>
        </is>
      </c>
      <c r="H274" s="6" t="inlineStr">
        <is>
          <t>P. O'Brien</t>
        </is>
      </c>
      <c r="I274" s="6" t="inlineStr">
        <is>
          <t>UBS AG</t>
        </is>
      </c>
      <c r="J274" s="6" t="inlineStr">
        <is>
          <t>Buy</t>
        </is>
      </c>
      <c r="K274" s="6" t="inlineStr">
        <is>
          <t>Forward</t>
        </is>
      </c>
      <c r="L274" s="7" t="n">
        <v>27400</v>
      </c>
      <c r="M274" s="6" t="inlineStr">
        <is>
          <t>troy oz</t>
        </is>
      </c>
      <c r="N274" s="8" t="n">
        <v>959.0574</v>
      </c>
      <c r="O274" s="8" t="n">
        <v>954.633</v>
      </c>
      <c r="P274" s="9" t="n">
        <v>26278172.76</v>
      </c>
      <c r="Q274" s="6" t="inlineStr">
        <is>
          <t>Settled</t>
        </is>
      </c>
      <c r="R274" s="6">
        <f>IFERROR(DATEVALUE(C274)-DATEVALUE(B274),"N/A")</f>
        <v/>
      </c>
      <c r="S274" s="6">
        <f>IF(AND(N274&lt;&gt;"",O274&lt;&gt;""),IF(N274&gt;O274,"Above","At/Below"),"N/A")</f>
        <v/>
      </c>
    </row>
    <row r="275">
      <c r="A275" s="10" t="inlineStr">
        <is>
          <t>TRD-000274</t>
        </is>
      </c>
      <c r="B275" s="10" t="inlineStr">
        <is>
          <t>2024-06-19</t>
        </is>
      </c>
      <c r="C275" s="10" t="inlineStr">
        <is>
          <t>2024-07-19</t>
        </is>
      </c>
      <c r="D275" s="10" t="inlineStr">
        <is>
          <t>Platinum</t>
        </is>
      </c>
      <c r="E275" s="10" t="inlineStr">
        <is>
          <t>XPT</t>
        </is>
      </c>
      <c r="F275" s="10" t="inlineStr">
        <is>
          <t>Precious Metals</t>
        </is>
      </c>
      <c r="G275" s="10" t="inlineStr">
        <is>
          <t>PM-PROP-01</t>
        </is>
      </c>
      <c r="H275" s="10" t="inlineStr">
        <is>
          <t>R. Nakamura</t>
        </is>
      </c>
      <c r="I275" s="10" t="inlineStr">
        <is>
          <t>Goldman Sachs</t>
        </is>
      </c>
      <c r="J275" s="10" t="inlineStr">
        <is>
          <t>Sell</t>
        </is>
      </c>
      <c r="K275" s="10" t="inlineStr">
        <is>
          <t>Swap</t>
        </is>
      </c>
      <c r="L275" s="11" t="n">
        <v>37800</v>
      </c>
      <c r="M275" s="10" t="inlineStr">
        <is>
          <t>troy oz</t>
        </is>
      </c>
      <c r="N275" s="12" t="n">
        <v>960.4299999999999</v>
      </c>
      <c r="O275" s="12" t="n">
        <v>962.1644</v>
      </c>
      <c r="P275" s="13" t="n">
        <v>36304254</v>
      </c>
      <c r="Q275" s="10" t="inlineStr">
        <is>
          <t>Confirmed</t>
        </is>
      </c>
      <c r="R275" s="10">
        <f>IFERROR(DATEVALUE(C275)-DATEVALUE(B275),"N/A")</f>
        <v/>
      </c>
      <c r="S275" s="10">
        <f>IF(AND(N275&lt;&gt;"",O275&lt;&gt;""),IF(N275&gt;O275,"Above","At/Below"),"N/A")</f>
        <v/>
      </c>
    </row>
    <row r="276">
      <c r="A276" s="6" t="inlineStr">
        <is>
          <t>TRD-000275</t>
        </is>
      </c>
      <c r="B276" s="6" t="inlineStr">
        <is>
          <t>2024-08-09</t>
        </is>
      </c>
      <c r="C276" s="6" t="inlineStr">
        <is>
          <t>2024-08-11</t>
        </is>
      </c>
      <c r="D276" s="6" t="inlineStr">
        <is>
          <t>Palladium</t>
        </is>
      </c>
      <c r="E276" s="6" t="inlineStr">
        <is>
          <t>XPD</t>
        </is>
      </c>
      <c r="F276" s="6" t="inlineStr">
        <is>
          <t>Precious Metals</t>
        </is>
      </c>
      <c r="G276" s="6" t="inlineStr">
        <is>
          <t>PM-HEDGE-01</t>
        </is>
      </c>
      <c r="H276" s="6" t="inlineStr">
        <is>
          <t>T. Vasquez</t>
        </is>
      </c>
      <c r="I276" s="6" t="inlineStr">
        <is>
          <t>Scotiabank</t>
        </is>
      </c>
      <c r="J276" s="6" t="inlineStr">
        <is>
          <t>Buy</t>
        </is>
      </c>
      <c r="K276" s="6" t="inlineStr">
        <is>
          <t>Spot</t>
        </is>
      </c>
      <c r="L276" s="7" t="n">
        <v>4700</v>
      </c>
      <c r="M276" s="6" t="inlineStr">
        <is>
          <t>troy oz</t>
        </is>
      </c>
      <c r="N276" s="8" t="n">
        <v>1048.5045</v>
      </c>
      <c r="O276" s="8" t="n">
        <v>1048.9958</v>
      </c>
      <c r="P276" s="9" t="n">
        <v>4927971.15</v>
      </c>
      <c r="Q276" s="6" t="inlineStr">
        <is>
          <t>Confirmed</t>
        </is>
      </c>
      <c r="R276" s="6">
        <f>IFERROR(DATEVALUE(C276)-DATEVALUE(B276),"N/A")</f>
        <v/>
      </c>
      <c r="S276" s="6">
        <f>IF(AND(N276&lt;&gt;"",O276&lt;&gt;""),IF(N276&gt;O276,"Above","At/Below"),"N/A")</f>
        <v/>
      </c>
    </row>
    <row r="277">
      <c r="A277" s="10" t="inlineStr">
        <is>
          <t>TRD-000276</t>
        </is>
      </c>
      <c r="B277" s="10" t="inlineStr">
        <is>
          <t>2024-09-02</t>
        </is>
      </c>
      <c r="C277" s="10" t="inlineStr">
        <is>
          <t>2024-12-01</t>
        </is>
      </c>
      <c r="D277" s="10" t="inlineStr">
        <is>
          <t>Palladium</t>
        </is>
      </c>
      <c r="E277" s="10" t="inlineStr">
        <is>
          <t>XPD</t>
        </is>
      </c>
      <c r="F277" s="10" t="inlineStr">
        <is>
          <t>Precious Metals</t>
        </is>
      </c>
      <c r="G277" s="10" t="inlineStr">
        <is>
          <t>PM-PROP-01</t>
        </is>
      </c>
      <c r="H277" s="10" t="inlineStr">
        <is>
          <t>S. Okonkwo</t>
        </is>
      </c>
      <c r="I277" s="10" t="inlineStr">
        <is>
          <t>HSBC Metals</t>
        </is>
      </c>
      <c r="J277" s="10" t="inlineStr">
        <is>
          <t>Sell</t>
        </is>
      </c>
      <c r="K277" s="10" t="inlineStr">
        <is>
          <t>Spot</t>
        </is>
      </c>
      <c r="L277" s="11" t="n">
        <v>41100</v>
      </c>
      <c r="M277" s="10" t="inlineStr">
        <is>
          <t>troy oz</t>
        </is>
      </c>
      <c r="N277" s="12" t="n">
        <v>1015.1517</v>
      </c>
      <c r="O277" s="12" t="n">
        <v>1016.1333</v>
      </c>
      <c r="P277" s="13" t="n">
        <v>41722734.87</v>
      </c>
      <c r="Q277" s="10" t="inlineStr">
        <is>
          <t>Settled</t>
        </is>
      </c>
      <c r="R277" s="10">
        <f>IFERROR(DATEVALUE(C277)-DATEVALUE(B277),"N/A")</f>
        <v/>
      </c>
      <c r="S277" s="10">
        <f>IF(AND(N277&lt;&gt;"",O277&lt;&gt;""),IF(N277&gt;O277,"Above","At/Below"),"N/A")</f>
        <v/>
      </c>
    </row>
    <row r="278">
      <c r="A278" s="6" t="inlineStr">
        <is>
          <t>TRD-000277</t>
        </is>
      </c>
      <c r="B278" s="6" t="inlineStr">
        <is>
          <t>2024-09-25</t>
        </is>
      </c>
      <c r="C278" s="6" t="inlineStr">
        <is>
          <t>2024-12-24</t>
        </is>
      </c>
      <c r="D278" s="6" t="inlineStr">
        <is>
          <t>Aluminium</t>
        </is>
      </c>
      <c r="E278" s="6" t="inlineStr">
        <is>
          <t>AL</t>
        </is>
      </c>
      <c r="F278" s="6" t="inlineStr">
        <is>
          <t>Base Metals</t>
        </is>
      </c>
      <c r="G278" s="6" t="inlineStr">
        <is>
          <t>BM-PROP-01</t>
        </is>
      </c>
      <c r="H278" s="6" t="inlineStr">
        <is>
          <t>S. Okonkwo</t>
        </is>
      </c>
      <c r="I278" s="6" t="inlineStr">
        <is>
          <t>BNP Paribas</t>
        </is>
      </c>
      <c r="J278" s="6" t="inlineStr">
        <is>
          <t>Buy</t>
        </is>
      </c>
      <c r="K278" s="6" t="inlineStr">
        <is>
          <t>Spot</t>
        </is>
      </c>
      <c r="L278" s="7" t="n">
        <v>2550</v>
      </c>
      <c r="M278" s="6" t="inlineStr">
        <is>
          <t>MT</t>
        </is>
      </c>
      <c r="N278" s="8" t="n">
        <v>2558.9318</v>
      </c>
      <c r="O278" s="8" t="n">
        <v>2558.2712</v>
      </c>
      <c r="P278" s="9" t="n">
        <v>6525276.09</v>
      </c>
      <c r="Q278" s="6" t="inlineStr">
        <is>
          <t>Settled</t>
        </is>
      </c>
      <c r="R278" s="6">
        <f>IFERROR(DATEVALUE(C278)-DATEVALUE(B278),"N/A")</f>
        <v/>
      </c>
      <c r="S278" s="6">
        <f>IF(AND(N278&lt;&gt;"",O278&lt;&gt;""),IF(N278&gt;O278,"Above","At/Below"),"N/A")</f>
        <v/>
      </c>
    </row>
    <row r="279">
      <c r="A279" s="10" t="inlineStr">
        <is>
          <t>TRD-000278</t>
        </is>
      </c>
      <c r="B279" s="10" t="inlineStr">
        <is>
          <t>2024-08-15</t>
        </is>
      </c>
      <c r="C279" s="10" t="inlineStr">
        <is>
          <t>2024-08-17</t>
        </is>
      </c>
      <c r="D279" s="10" t="inlineStr">
        <is>
          <t>Nickel</t>
        </is>
      </c>
      <c r="E279" s="10" t="inlineStr">
        <is>
          <t>NI</t>
        </is>
      </c>
      <c r="F279" s="10" t="inlineStr">
        <is>
          <t>Base Metals</t>
        </is>
      </c>
      <c r="G279" s="10" t="inlineStr">
        <is>
          <t>BM-CLIENT-01</t>
        </is>
      </c>
      <c r="H279" s="10" t="inlineStr">
        <is>
          <t>S. Okonkwo</t>
        </is>
      </c>
      <c r="I279" s="10" t="inlineStr">
        <is>
          <t>Deutsche Bank</t>
        </is>
      </c>
      <c r="J279" s="10" t="inlineStr">
        <is>
          <t>Sell</t>
        </is>
      </c>
      <c r="K279" s="10" t="inlineStr">
        <is>
          <t>Spot</t>
        </is>
      </c>
      <c r="L279" s="11" t="n">
        <v>3600</v>
      </c>
      <c r="M279" s="10" t="inlineStr">
        <is>
          <t>MT</t>
        </is>
      </c>
      <c r="N279" s="12" t="n">
        <v>17900.4861</v>
      </c>
      <c r="O279" s="12" t="n">
        <v>17862.5701</v>
      </c>
      <c r="P279" s="13" t="n">
        <v>64441749.96</v>
      </c>
      <c r="Q279" s="10" t="inlineStr">
        <is>
          <t>Confirmed</t>
        </is>
      </c>
      <c r="R279" s="10">
        <f>IFERROR(DATEVALUE(C279)-DATEVALUE(B279),"N/A")</f>
        <v/>
      </c>
      <c r="S279" s="10">
        <f>IF(AND(N279&lt;&gt;"",O279&lt;&gt;""),IF(N279&gt;O279,"Above","At/Below"),"N/A")</f>
        <v/>
      </c>
    </row>
    <row r="280">
      <c r="A280" s="6" t="inlineStr">
        <is>
          <t>TRD-000279</t>
        </is>
      </c>
      <c r="B280" s="6" t="inlineStr">
        <is>
          <t>2024-05-07</t>
        </is>
      </c>
      <c r="C280" s="6" t="inlineStr">
        <is>
          <t>2024-08-05</t>
        </is>
      </c>
      <c r="D280" s="6" t="inlineStr">
        <is>
          <t>Copper</t>
        </is>
      </c>
      <c r="E280" s="6" t="inlineStr">
        <is>
          <t>HG</t>
        </is>
      </c>
      <c r="F280" s="6" t="inlineStr">
        <is>
          <t>Base Metals</t>
        </is>
      </c>
      <c r="G280" s="6" t="inlineStr">
        <is>
          <t>BM-PROP-01</t>
        </is>
      </c>
      <c r="H280" s="6" t="inlineStr">
        <is>
          <t>J. Kowalski</t>
        </is>
      </c>
      <c r="I280" s="6" t="inlineStr">
        <is>
          <t>Standard Chartered</t>
        </is>
      </c>
      <c r="J280" s="6" t="inlineStr">
        <is>
          <t>Sell</t>
        </is>
      </c>
      <c r="K280" s="6" t="inlineStr">
        <is>
          <t>Option</t>
        </is>
      </c>
      <c r="L280" s="7" t="n">
        <v>4500</v>
      </c>
      <c r="M280" s="6" t="inlineStr">
        <is>
          <t>lbs</t>
        </is>
      </c>
      <c r="N280" s="8" t="n">
        <v>3.9566</v>
      </c>
      <c r="O280" s="8" t="n">
        <v>3.9432</v>
      </c>
      <c r="P280" s="9" t="n">
        <v>17804.7</v>
      </c>
      <c r="Q280" s="6" t="inlineStr">
        <is>
          <t>Pending</t>
        </is>
      </c>
      <c r="R280" s="6">
        <f>IFERROR(DATEVALUE(C280)-DATEVALUE(B280),"N/A")</f>
        <v/>
      </c>
      <c r="S280" s="6">
        <f>IF(AND(N280&lt;&gt;"",O280&lt;&gt;""),IF(N280&gt;O280,"Above","At/Below"),"N/A")</f>
        <v/>
      </c>
    </row>
    <row r="281">
      <c r="A281" s="10" t="inlineStr">
        <is>
          <t>TRD-000280</t>
        </is>
      </c>
      <c r="B281" s="10" t="inlineStr">
        <is>
          <t>2024-03-15</t>
        </is>
      </c>
      <c r="C281" s="10" t="inlineStr">
        <is>
          <t>2024-03-20</t>
        </is>
      </c>
      <c r="D281" s="10" t="inlineStr">
        <is>
          <t>Palladium</t>
        </is>
      </c>
      <c r="E281" s="10" t="inlineStr">
        <is>
          <t>XPD</t>
        </is>
      </c>
      <c r="F281" s="10" t="inlineStr">
        <is>
          <t>Precious Metals</t>
        </is>
      </c>
      <c r="G281" s="10" t="inlineStr">
        <is>
          <t>PM-CLIENT-01</t>
        </is>
      </c>
      <c r="H281" s="10" t="inlineStr">
        <is>
          <t>S. Okonkwo</t>
        </is>
      </c>
      <c r="I281" s="10" t="inlineStr">
        <is>
          <t>Morgan Stanley</t>
        </is>
      </c>
      <c r="J281" s="10" t="inlineStr">
        <is>
          <t>Buy</t>
        </is>
      </c>
      <c r="K281" s="10" t="inlineStr">
        <is>
          <t>Spot</t>
        </is>
      </c>
      <c r="L281" s="11" t="n">
        <v>38200</v>
      </c>
      <c r="M281" s="10" t="inlineStr">
        <is>
          <t>troy oz</t>
        </is>
      </c>
      <c r="N281" s="12" t="n">
        <v>1017.2041</v>
      </c>
      <c r="O281" s="12" t="n">
        <v>1012.2676</v>
      </c>
      <c r="P281" s="13" t="n">
        <v>38857196.62</v>
      </c>
      <c r="Q281" s="10" t="inlineStr">
        <is>
          <t>Settled</t>
        </is>
      </c>
      <c r="R281" s="10">
        <f>IFERROR(DATEVALUE(C281)-DATEVALUE(B281),"N/A")</f>
        <v/>
      </c>
      <c r="S281" s="10">
        <f>IF(AND(N281&lt;&gt;"",O281&lt;&gt;""),IF(N281&gt;O281,"Above","At/Below"),"N/A")</f>
        <v/>
      </c>
    </row>
    <row r="282">
      <c r="A282" s="6" t="inlineStr">
        <is>
          <t>TRD-000281</t>
        </is>
      </c>
      <c r="B282" s="6" t="inlineStr">
        <is>
          <t>2024-08-28</t>
        </is>
      </c>
      <c r="C282" s="6" t="inlineStr">
        <is>
          <t>2024-09-02</t>
        </is>
      </c>
      <c r="D282" s="6" t="inlineStr">
        <is>
          <t>Silver</t>
        </is>
      </c>
      <c r="E282" s="6" t="inlineStr">
        <is>
          <t>XAG</t>
        </is>
      </c>
      <c r="F282" s="6" t="inlineStr">
        <is>
          <t>Precious Metals</t>
        </is>
      </c>
      <c r="G282" s="6" t="inlineStr">
        <is>
          <t>PM-CLIENT-01</t>
        </is>
      </c>
      <c r="H282" s="6" t="inlineStr">
        <is>
          <t>M. Patel</t>
        </is>
      </c>
      <c r="I282" s="6" t="inlineStr">
        <is>
          <t>BNP Paribas</t>
        </is>
      </c>
      <c r="J282" s="6" t="inlineStr">
        <is>
          <t>Buy</t>
        </is>
      </c>
      <c r="K282" s="6" t="inlineStr">
        <is>
          <t>Forward</t>
        </is>
      </c>
      <c r="L282" s="7" t="n">
        <v>10800</v>
      </c>
      <c r="M282" s="6" t="inlineStr">
        <is>
          <t>troy oz</t>
        </is>
      </c>
      <c r="N282" s="8" t="n">
        <v>27.1198</v>
      </c>
      <c r="O282" s="8" t="n">
        <v>27.1075</v>
      </c>
      <c r="P282" s="9" t="n">
        <v>292893.84</v>
      </c>
      <c r="Q282" s="6" t="inlineStr">
        <is>
          <t>Confirmed</t>
        </is>
      </c>
      <c r="R282" s="6">
        <f>IFERROR(DATEVALUE(C282)-DATEVALUE(B282),"N/A")</f>
        <v/>
      </c>
      <c r="S282" s="6">
        <f>IF(AND(N282&lt;&gt;"",O282&lt;&gt;""),IF(N282&gt;O282,"Above","At/Below"),"N/A")</f>
        <v/>
      </c>
    </row>
    <row r="283">
      <c r="A283" s="10" t="inlineStr">
        <is>
          <t>TRD-000282</t>
        </is>
      </c>
      <c r="B283" s="10" t="inlineStr">
        <is>
          <t>2024-10-28</t>
        </is>
      </c>
      <c r="C283" s="10" t="inlineStr">
        <is>
          <t>2024-10-30</t>
        </is>
      </c>
      <c r="D283" s="10" t="inlineStr">
        <is>
          <t>Zinc</t>
        </is>
      </c>
      <c r="E283" s="10" t="inlineStr">
        <is>
          <t>ZN</t>
        </is>
      </c>
      <c r="F283" s="10" t="inlineStr">
        <is>
          <t>Base Metals</t>
        </is>
      </c>
      <c r="G283" s="10" t="inlineStr">
        <is>
          <t>BM-HEDGE-01</t>
        </is>
      </c>
      <c r="H283" s="10" t="inlineStr">
        <is>
          <t>T. Vasquez</t>
        </is>
      </c>
      <c r="I283" s="10" t="inlineStr">
        <is>
          <t>Goldman Sachs</t>
        </is>
      </c>
      <c r="J283" s="10" t="inlineStr">
        <is>
          <t>Sell</t>
        </is>
      </c>
      <c r="K283" s="10" t="inlineStr">
        <is>
          <t>Spot</t>
        </is>
      </c>
      <c r="L283" s="11" t="n">
        <v>3175</v>
      </c>
      <c r="M283" s="10" t="inlineStr">
        <is>
          <t>MT</t>
        </is>
      </c>
      <c r="N283" s="12" t="n">
        <v>2909.499</v>
      </c>
      <c r="O283" s="12" t="n">
        <v>2907.6746</v>
      </c>
      <c r="P283" s="13" t="n">
        <v>9237659.32</v>
      </c>
      <c r="Q283" s="10" t="inlineStr">
        <is>
          <t>Pending</t>
        </is>
      </c>
      <c r="R283" s="10">
        <f>IFERROR(DATEVALUE(C283)-DATEVALUE(B283),"N/A")</f>
        <v/>
      </c>
      <c r="S283" s="10">
        <f>IF(AND(N283&lt;&gt;"",O283&lt;&gt;""),IF(N283&gt;O283,"Above","At/Below"),"N/A")</f>
        <v/>
      </c>
    </row>
    <row r="284">
      <c r="A284" s="6" t="inlineStr">
        <is>
          <t>TRD-000283</t>
        </is>
      </c>
      <c r="B284" s="6" t="inlineStr">
        <is>
          <t>2024-11-20</t>
        </is>
      </c>
      <c r="C284" s="6" t="inlineStr">
        <is>
          <t>2024-11-22</t>
        </is>
      </c>
      <c r="D284" s="6" t="inlineStr">
        <is>
          <t>Palladium</t>
        </is>
      </c>
      <c r="E284" s="6" t="inlineStr">
        <is>
          <t>XPD</t>
        </is>
      </c>
      <c r="F284" s="6" t="inlineStr">
        <is>
          <t>Precious Metals</t>
        </is>
      </c>
      <c r="G284" s="6" t="inlineStr">
        <is>
          <t>PM-PROP-01</t>
        </is>
      </c>
      <c r="H284" s="6" t="inlineStr">
        <is>
          <t>M. Patel</t>
        </is>
      </c>
      <c r="I284" s="6" t="inlineStr">
        <is>
          <t>HSBC Metals</t>
        </is>
      </c>
      <c r="J284" s="6" t="inlineStr">
        <is>
          <t>Sell</t>
        </is>
      </c>
      <c r="K284" s="6" t="inlineStr">
        <is>
          <t>Spot</t>
        </is>
      </c>
      <c r="L284" s="7" t="n">
        <v>1800</v>
      </c>
      <c r="M284" s="6" t="inlineStr">
        <is>
          <t>troy oz</t>
        </is>
      </c>
      <c r="N284" s="8" t="n">
        <v>1081.2293</v>
      </c>
      <c r="O284" s="8" t="n">
        <v>1081.4154</v>
      </c>
      <c r="P284" s="9" t="n">
        <v>1946212.74</v>
      </c>
      <c r="Q284" s="6" t="inlineStr">
        <is>
          <t>Confirmed</t>
        </is>
      </c>
      <c r="R284" s="6">
        <f>IFERROR(DATEVALUE(C284)-DATEVALUE(B284),"N/A")</f>
        <v/>
      </c>
      <c r="S284" s="6">
        <f>IF(AND(N284&lt;&gt;"",O284&lt;&gt;""),IF(N284&gt;O284,"Above","At/Below"),"N/A")</f>
        <v/>
      </c>
    </row>
    <row r="285">
      <c r="A285" s="10" t="inlineStr">
        <is>
          <t>TRD-000284</t>
        </is>
      </c>
      <c r="B285" s="10" t="inlineStr">
        <is>
          <t>2024-02-23</t>
        </is>
      </c>
      <c r="C285" s="10" t="inlineStr">
        <is>
          <t>2024-03-24</t>
        </is>
      </c>
      <c r="D285" s="10" t="inlineStr">
        <is>
          <t>Zinc</t>
        </is>
      </c>
      <c r="E285" s="10" t="inlineStr">
        <is>
          <t>ZN</t>
        </is>
      </c>
      <c r="F285" s="10" t="inlineStr">
        <is>
          <t>Base Metals</t>
        </is>
      </c>
      <c r="G285" s="10" t="inlineStr">
        <is>
          <t>BM-PROP-01</t>
        </is>
      </c>
      <c r="H285" s="10" t="inlineStr">
        <is>
          <t>T. Vasquez</t>
        </is>
      </c>
      <c r="I285" s="10" t="inlineStr">
        <is>
          <t>BNP Paribas</t>
        </is>
      </c>
      <c r="J285" s="10" t="inlineStr">
        <is>
          <t>Sell</t>
        </is>
      </c>
      <c r="K285" s="10" t="inlineStr">
        <is>
          <t>Forward</t>
        </is>
      </c>
      <c r="L285" s="11" t="n">
        <v>600</v>
      </c>
      <c r="M285" s="10" t="inlineStr">
        <is>
          <t>MT</t>
        </is>
      </c>
      <c r="N285" s="12" t="n">
        <v>2930.425</v>
      </c>
      <c r="O285" s="12" t="n">
        <v>2923.7136</v>
      </c>
      <c r="P285" s="13" t="n">
        <v>1758255</v>
      </c>
      <c r="Q285" s="10" t="inlineStr">
        <is>
          <t>Confirmed</t>
        </is>
      </c>
      <c r="R285" s="10">
        <f>IFERROR(DATEVALUE(C285)-DATEVALUE(B285),"N/A")</f>
        <v/>
      </c>
      <c r="S285" s="10">
        <f>IF(AND(N285&lt;&gt;"",O285&lt;&gt;""),IF(N285&gt;O285,"Above","At/Below"),"N/A")</f>
        <v/>
      </c>
    </row>
    <row r="286">
      <c r="A286" s="6" t="inlineStr">
        <is>
          <t>TRD-000285</t>
        </is>
      </c>
      <c r="B286" s="6" t="inlineStr">
        <is>
          <t>2024-11-07</t>
        </is>
      </c>
      <c r="C286" s="6" t="inlineStr">
        <is>
          <t>2024-11-09</t>
        </is>
      </c>
      <c r="D286" s="6" t="inlineStr">
        <is>
          <t>Platinum</t>
        </is>
      </c>
      <c r="E286" s="6" t="inlineStr">
        <is>
          <t>XPT</t>
        </is>
      </c>
      <c r="F286" s="6" t="inlineStr">
        <is>
          <t>Precious Metals</t>
        </is>
      </c>
      <c r="G286" s="6" t="inlineStr">
        <is>
          <t>PM-CLIENT-01</t>
        </is>
      </c>
      <c r="H286" s="6" t="inlineStr">
        <is>
          <t>A. Dubois</t>
        </is>
      </c>
      <c r="I286" s="6" t="inlineStr">
        <is>
          <t>Morgan Stanley</t>
        </is>
      </c>
      <c r="J286" s="6" t="inlineStr">
        <is>
          <t>Buy</t>
        </is>
      </c>
      <c r="K286" s="6" t="inlineStr">
        <is>
          <t>Swap</t>
        </is>
      </c>
      <c r="L286" s="7" t="n">
        <v>17000</v>
      </c>
      <c r="M286" s="6" t="inlineStr">
        <is>
          <t>troy oz</t>
        </is>
      </c>
      <c r="N286" s="8" t="n">
        <v>937.0583</v>
      </c>
      <c r="O286" s="8" t="n">
        <v>936.2485</v>
      </c>
      <c r="P286" s="9" t="n">
        <v>15929991.1</v>
      </c>
      <c r="Q286" s="6" t="inlineStr">
        <is>
          <t>Confirmed</t>
        </is>
      </c>
      <c r="R286" s="6">
        <f>IFERROR(DATEVALUE(C286)-DATEVALUE(B286),"N/A")</f>
        <v/>
      </c>
      <c r="S286" s="6">
        <f>IF(AND(N286&lt;&gt;"",O286&lt;&gt;""),IF(N286&gt;O286,"Above","At/Below"),"N/A")</f>
        <v/>
      </c>
    </row>
    <row r="287">
      <c r="A287" s="10" t="inlineStr">
        <is>
          <t>TRD-000286</t>
        </is>
      </c>
      <c r="B287" s="10" t="inlineStr">
        <is>
          <t>2024-02-06</t>
        </is>
      </c>
      <c r="C287" s="10" t="inlineStr">
        <is>
          <t>2024-02-11</t>
        </is>
      </c>
      <c r="D287" s="10" t="inlineStr">
        <is>
          <t>Palladium</t>
        </is>
      </c>
      <c r="E287" s="10" t="inlineStr">
        <is>
          <t>XPD</t>
        </is>
      </c>
      <c r="F287" s="10" t="inlineStr">
        <is>
          <t>Precious Metals</t>
        </is>
      </c>
      <c r="G287" s="10" t="inlineStr">
        <is>
          <t>PM-PROP-01</t>
        </is>
      </c>
      <c r="H287" s="10" t="inlineStr">
        <is>
          <t>P. O'Brien</t>
        </is>
      </c>
      <c r="I287" s="10" t="inlineStr">
        <is>
          <t>HSBC Metals</t>
        </is>
      </c>
      <c r="J287" s="10" t="inlineStr">
        <is>
          <t>Sell</t>
        </is>
      </c>
      <c r="K287" s="10" t="inlineStr">
        <is>
          <t>Spot</t>
        </is>
      </c>
      <c r="L287" s="11" t="n">
        <v>43100</v>
      </c>
      <c r="M287" s="10" t="inlineStr">
        <is>
          <t>troy oz</t>
        </is>
      </c>
      <c r="N287" s="12" t="n">
        <v>1058.0919</v>
      </c>
      <c r="O287" s="12" t="n">
        <v>1057.5358</v>
      </c>
      <c r="P287" s="13" t="n">
        <v>45603760.89</v>
      </c>
      <c r="Q287" s="10" t="inlineStr">
        <is>
          <t>Confirmed</t>
        </is>
      </c>
      <c r="R287" s="10">
        <f>IFERROR(DATEVALUE(C287)-DATEVALUE(B287),"N/A")</f>
        <v/>
      </c>
      <c r="S287" s="10">
        <f>IF(AND(N287&lt;&gt;"",O287&lt;&gt;""),IF(N287&gt;O287,"Above","At/Below"),"N/A")</f>
        <v/>
      </c>
    </row>
    <row r="288">
      <c r="A288" s="6" t="inlineStr">
        <is>
          <t>TRD-000287</t>
        </is>
      </c>
      <c r="B288" s="6" t="inlineStr">
        <is>
          <t>2024-03-11</t>
        </is>
      </c>
      <c r="C288" s="6" t="inlineStr">
        <is>
          <t>2024-03-13</t>
        </is>
      </c>
      <c r="D288" s="6" t="inlineStr">
        <is>
          <t>Nickel</t>
        </is>
      </c>
      <c r="E288" s="6" t="inlineStr">
        <is>
          <t>NI</t>
        </is>
      </c>
      <c r="F288" s="6" t="inlineStr">
        <is>
          <t>Base Metals</t>
        </is>
      </c>
      <c r="G288" s="6" t="inlineStr">
        <is>
          <t>BM-PROP-01</t>
        </is>
      </c>
      <c r="H288" s="6" t="inlineStr">
        <is>
          <t>M. Patel</t>
        </is>
      </c>
      <c r="I288" s="6" t="inlineStr">
        <is>
          <t>JPMorgan Commodities</t>
        </is>
      </c>
      <c r="J288" s="6" t="inlineStr">
        <is>
          <t>Sell</t>
        </is>
      </c>
      <c r="K288" s="6" t="inlineStr">
        <is>
          <t>Swap</t>
        </is>
      </c>
      <c r="L288" s="7" t="n">
        <v>4100</v>
      </c>
      <c r="M288" s="6" t="inlineStr">
        <is>
          <t>MT</t>
        </is>
      </c>
      <c r="N288" s="8" t="n">
        <v>17009.5057</v>
      </c>
      <c r="O288" s="8" t="n">
        <v>16987.1677</v>
      </c>
      <c r="P288" s="9" t="n">
        <v>69738973.37</v>
      </c>
      <c r="Q288" s="6" t="inlineStr">
        <is>
          <t>Settled</t>
        </is>
      </c>
      <c r="R288" s="6">
        <f>IFERROR(DATEVALUE(C288)-DATEVALUE(B288),"N/A")</f>
        <v/>
      </c>
      <c r="S288" s="6">
        <f>IF(AND(N288&lt;&gt;"",O288&lt;&gt;""),IF(N288&gt;O288,"Above","At/Below"),"N/A")</f>
        <v/>
      </c>
    </row>
    <row r="289">
      <c r="A289" s="10" t="inlineStr">
        <is>
          <t>TRD-000288</t>
        </is>
      </c>
      <c r="B289" s="10" t="inlineStr">
        <is>
          <t>2024-07-09</t>
        </is>
      </c>
      <c r="C289" s="10" t="inlineStr">
        <is>
          <t>2024-07-11</t>
        </is>
      </c>
      <c r="D289" s="10" t="inlineStr">
        <is>
          <t>Nickel</t>
        </is>
      </c>
      <c r="E289" s="10" t="inlineStr">
        <is>
          <t>NI</t>
        </is>
      </c>
      <c r="F289" s="10" t="inlineStr">
        <is>
          <t>Base Metals</t>
        </is>
      </c>
      <c r="G289" s="10" t="inlineStr">
        <is>
          <t>BM-HEDGE-01</t>
        </is>
      </c>
      <c r="H289" s="10" t="inlineStr">
        <is>
          <t>S. Okonkwo</t>
        </is>
      </c>
      <c r="I289" s="10" t="inlineStr">
        <is>
          <t>TD Securities</t>
        </is>
      </c>
      <c r="J289" s="10" t="inlineStr">
        <is>
          <t>Buy</t>
        </is>
      </c>
      <c r="K289" s="10" t="inlineStr">
        <is>
          <t>Spot</t>
        </is>
      </c>
      <c r="L289" s="11" t="n">
        <v>2500</v>
      </c>
      <c r="M289" s="10" t="inlineStr">
        <is>
          <t>MT</t>
        </is>
      </c>
      <c r="N289" s="12" t="n">
        <v>17760.1596</v>
      </c>
      <c r="O289" s="12" t="n">
        <v>17748.2662</v>
      </c>
      <c r="P289" s="13" t="n">
        <v>44400399</v>
      </c>
      <c r="Q289" s="10" t="inlineStr">
        <is>
          <t>Confirmed</t>
        </is>
      </c>
      <c r="R289" s="10">
        <f>IFERROR(DATEVALUE(C289)-DATEVALUE(B289),"N/A")</f>
        <v/>
      </c>
      <c r="S289" s="10">
        <f>IF(AND(N289&lt;&gt;"",O289&lt;&gt;""),IF(N289&gt;O289,"Above","At/Below"),"N/A")</f>
        <v/>
      </c>
    </row>
    <row r="290">
      <c r="A290" s="6" t="inlineStr">
        <is>
          <t>TRD-000289</t>
        </is>
      </c>
      <c r="B290" s="6" t="inlineStr">
        <is>
          <t>2024-07-08</t>
        </is>
      </c>
      <c r="C290" s="6" t="inlineStr">
        <is>
          <t>2024-07-10</t>
        </is>
      </c>
      <c r="D290" s="6" t="inlineStr">
        <is>
          <t>Nickel</t>
        </is>
      </c>
      <c r="E290" s="6" t="inlineStr">
        <is>
          <t>NI</t>
        </is>
      </c>
      <c r="F290" s="6" t="inlineStr">
        <is>
          <t>Base Metals</t>
        </is>
      </c>
      <c r="G290" s="6" t="inlineStr">
        <is>
          <t>BM-HEDGE-01</t>
        </is>
      </c>
      <c r="H290" s="6" t="inlineStr">
        <is>
          <t>M. Patel</t>
        </is>
      </c>
      <c r="I290" s="6" t="inlineStr">
        <is>
          <t>HSBC Metals</t>
        </is>
      </c>
      <c r="J290" s="6" t="inlineStr">
        <is>
          <t>Buy</t>
        </is>
      </c>
      <c r="K290" s="6" t="inlineStr">
        <is>
          <t>Spot</t>
        </is>
      </c>
      <c r="L290" s="7" t="n">
        <v>3625</v>
      </c>
      <c r="M290" s="6" t="inlineStr">
        <is>
          <t>MT</t>
        </is>
      </c>
      <c r="N290" s="8" t="n">
        <v>18141.9016</v>
      </c>
      <c r="O290" s="8" t="n">
        <v>18089.8878</v>
      </c>
      <c r="P290" s="9" t="n">
        <v>65764393.3</v>
      </c>
      <c r="Q290" s="6" t="inlineStr">
        <is>
          <t>Pending</t>
        </is>
      </c>
      <c r="R290" s="6">
        <f>IFERROR(DATEVALUE(C290)-DATEVALUE(B290),"N/A")</f>
        <v/>
      </c>
      <c r="S290" s="6">
        <f>IF(AND(N290&lt;&gt;"",O290&lt;&gt;""),IF(N290&gt;O290,"Above","At/Below"),"N/A")</f>
        <v/>
      </c>
    </row>
    <row r="291">
      <c r="A291" s="10" t="inlineStr">
        <is>
          <t>TRD-000290</t>
        </is>
      </c>
      <c r="B291" s="10" t="inlineStr">
        <is>
          <t>2024-06-12</t>
        </is>
      </c>
      <c r="C291" s="10" t="inlineStr">
        <is>
          <t>2024-07-12</t>
        </is>
      </c>
      <c r="D291" s="10" t="inlineStr">
        <is>
          <t>Zinc</t>
        </is>
      </c>
      <c r="E291" s="10" t="inlineStr">
        <is>
          <t>ZN</t>
        </is>
      </c>
      <c r="F291" s="10" t="inlineStr">
        <is>
          <t>Base Metals</t>
        </is>
      </c>
      <c r="G291" s="10" t="inlineStr">
        <is>
          <t>BM-CLIENT-01</t>
        </is>
      </c>
      <c r="H291" s="10" t="inlineStr">
        <is>
          <t>T. Vasquez</t>
        </is>
      </c>
      <c r="I291" s="10" t="inlineStr">
        <is>
          <t>Goldman Sachs</t>
        </is>
      </c>
      <c r="J291" s="10" t="inlineStr">
        <is>
          <t>Sell</t>
        </is>
      </c>
      <c r="K291" s="10" t="inlineStr">
        <is>
          <t>Swap</t>
        </is>
      </c>
      <c r="L291" s="11" t="n">
        <v>2500</v>
      </c>
      <c r="M291" s="10" t="inlineStr">
        <is>
          <t>MT</t>
        </is>
      </c>
      <c r="N291" s="12" t="n">
        <v>2684.5966</v>
      </c>
      <c r="O291" s="12" t="n">
        <v>2677.0754</v>
      </c>
      <c r="P291" s="13" t="n">
        <v>6711491.5</v>
      </c>
      <c r="Q291" s="10" t="inlineStr">
        <is>
          <t>Settled</t>
        </is>
      </c>
      <c r="R291" s="10">
        <f>IFERROR(DATEVALUE(C291)-DATEVALUE(B291),"N/A")</f>
        <v/>
      </c>
      <c r="S291" s="10">
        <f>IF(AND(N291&lt;&gt;"",O291&lt;&gt;""),IF(N291&gt;O291,"Above","At/Below"),"N/A")</f>
        <v/>
      </c>
    </row>
    <row r="292">
      <c r="A292" s="6" t="inlineStr">
        <is>
          <t>TRD-000291</t>
        </is>
      </c>
      <c r="B292" s="6" t="inlineStr">
        <is>
          <t>2024-02-27</t>
        </is>
      </c>
      <c r="C292" s="6" t="inlineStr">
        <is>
          <t>2024-03-03</t>
        </is>
      </c>
      <c r="D292" s="6" t="inlineStr">
        <is>
          <t>Nickel</t>
        </is>
      </c>
      <c r="E292" s="6" t="inlineStr">
        <is>
          <t>NI</t>
        </is>
      </c>
      <c r="F292" s="6" t="inlineStr">
        <is>
          <t>Base Metals</t>
        </is>
      </c>
      <c r="G292" s="6" t="inlineStr">
        <is>
          <t>BM-HEDGE-01</t>
        </is>
      </c>
      <c r="H292" s="6" t="inlineStr">
        <is>
          <t>S. Okonkwo</t>
        </is>
      </c>
      <c r="I292" s="6" t="inlineStr">
        <is>
          <t>HSBC Metals</t>
        </is>
      </c>
      <c r="J292" s="6" t="inlineStr">
        <is>
          <t>Buy</t>
        </is>
      </c>
      <c r="K292" s="6" t="inlineStr">
        <is>
          <t>Forward</t>
        </is>
      </c>
      <c r="L292" s="7" t="n">
        <v>4575</v>
      </c>
      <c r="M292" s="6" t="inlineStr">
        <is>
          <t>MT</t>
        </is>
      </c>
      <c r="N292" s="8" t="n">
        <v>18283.199</v>
      </c>
      <c r="O292" s="8" t="n">
        <v>18204.8601</v>
      </c>
      <c r="P292" s="9" t="n">
        <v>83645635.42</v>
      </c>
      <c r="Q292" s="6" t="inlineStr">
        <is>
          <t>Settled</t>
        </is>
      </c>
      <c r="R292" s="6">
        <f>IFERROR(DATEVALUE(C292)-DATEVALUE(B292),"N/A")</f>
        <v/>
      </c>
      <c r="S292" s="6">
        <f>IF(AND(N292&lt;&gt;"",O292&lt;&gt;""),IF(N292&gt;O292,"Above","At/Below"),"N/A")</f>
        <v/>
      </c>
    </row>
    <row r="293">
      <c r="A293" s="10" t="inlineStr">
        <is>
          <t>TRD-000292</t>
        </is>
      </c>
      <c r="B293" s="10" t="inlineStr">
        <is>
          <t>2024-04-30</t>
        </is>
      </c>
      <c r="C293" s="10" t="inlineStr">
        <is>
          <t>2024-05-02</t>
        </is>
      </c>
      <c r="D293" s="10" t="inlineStr">
        <is>
          <t>Nickel</t>
        </is>
      </c>
      <c r="E293" s="10" t="inlineStr">
        <is>
          <t>NI</t>
        </is>
      </c>
      <c r="F293" s="10" t="inlineStr">
        <is>
          <t>Base Metals</t>
        </is>
      </c>
      <c r="G293" s="10" t="inlineStr">
        <is>
          <t>BM-PROP-01</t>
        </is>
      </c>
      <c r="H293" s="10" t="inlineStr">
        <is>
          <t>P. O'Brien</t>
        </is>
      </c>
      <c r="I293" s="10" t="inlineStr">
        <is>
          <t>Citibank NA</t>
        </is>
      </c>
      <c r="J293" s="10" t="inlineStr">
        <is>
          <t>Buy</t>
        </is>
      </c>
      <c r="K293" s="10" t="inlineStr">
        <is>
          <t>Spot</t>
        </is>
      </c>
      <c r="L293" s="11" t="n">
        <v>825</v>
      </c>
      <c r="M293" s="10" t="inlineStr">
        <is>
          <t>MT</t>
        </is>
      </c>
      <c r="N293" s="12" t="n">
        <v>18128.5253</v>
      </c>
      <c r="O293" s="12" t="n">
        <v>18039.8063</v>
      </c>
      <c r="P293" s="13" t="n">
        <v>14956033.37</v>
      </c>
      <c r="Q293" s="10" t="inlineStr">
        <is>
          <t>Cancelled</t>
        </is>
      </c>
      <c r="R293" s="10">
        <f>IFERROR(DATEVALUE(C293)-DATEVALUE(B293),"N/A")</f>
        <v/>
      </c>
      <c r="S293" s="10">
        <f>IF(AND(N293&lt;&gt;"",O293&lt;&gt;""),IF(N293&gt;O293,"Above","At/Below"),"N/A")</f>
        <v/>
      </c>
    </row>
    <row r="294">
      <c r="A294" s="6" t="inlineStr">
        <is>
          <t>TRD-000293</t>
        </is>
      </c>
      <c r="B294" s="6" t="inlineStr">
        <is>
          <t>2024-07-04</t>
        </is>
      </c>
      <c r="C294" s="6" t="inlineStr">
        <is>
          <t>2024-07-06</t>
        </is>
      </c>
      <c r="D294" s="6" t="inlineStr">
        <is>
          <t>Platinum</t>
        </is>
      </c>
      <c r="E294" s="6" t="inlineStr">
        <is>
          <t>XPT</t>
        </is>
      </c>
      <c r="F294" s="6" t="inlineStr">
        <is>
          <t>Precious Metals</t>
        </is>
      </c>
      <c r="G294" s="6" t="inlineStr">
        <is>
          <t>PM-CLIENT-01</t>
        </is>
      </c>
      <c r="H294" s="6" t="inlineStr">
        <is>
          <t>R. Nakamura</t>
        </is>
      </c>
      <c r="I294" s="6" t="inlineStr">
        <is>
          <t>JPMorgan Commodities</t>
        </is>
      </c>
      <c r="J294" s="6" t="inlineStr">
        <is>
          <t>Buy</t>
        </is>
      </c>
      <c r="K294" s="6" t="inlineStr">
        <is>
          <t>Spot</t>
        </is>
      </c>
      <c r="L294" s="7" t="n">
        <v>46900</v>
      </c>
      <c r="M294" s="6" t="inlineStr">
        <is>
          <t>troy oz</t>
        </is>
      </c>
      <c r="N294" s="8" t="n">
        <v>1022.1917</v>
      </c>
      <c r="O294" s="8" t="n">
        <v>1020.2588</v>
      </c>
      <c r="P294" s="9" t="n">
        <v>47940790.73</v>
      </c>
      <c r="Q294" s="6" t="inlineStr">
        <is>
          <t>Confirmed</t>
        </is>
      </c>
      <c r="R294" s="6">
        <f>IFERROR(DATEVALUE(C294)-DATEVALUE(B294),"N/A")</f>
        <v/>
      </c>
      <c r="S294" s="6">
        <f>IF(AND(N294&lt;&gt;"",O294&lt;&gt;""),IF(N294&gt;O294,"Above","At/Below"),"N/A")</f>
        <v/>
      </c>
    </row>
    <row r="295">
      <c r="A295" s="10" t="inlineStr">
        <is>
          <t>TRD-000294</t>
        </is>
      </c>
      <c r="B295" s="10" t="inlineStr">
        <is>
          <t>2024-10-28</t>
        </is>
      </c>
      <c r="C295" s="10" t="inlineStr">
        <is>
          <t>2024-10-30</t>
        </is>
      </c>
      <c r="D295" s="10" t="inlineStr">
        <is>
          <t>Gold</t>
        </is>
      </c>
      <c r="E295" s="10" t="inlineStr">
        <is>
          <t>XAU</t>
        </is>
      </c>
      <c r="F295" s="10" t="inlineStr">
        <is>
          <t>Precious Metals</t>
        </is>
      </c>
      <c r="G295" s="10" t="inlineStr">
        <is>
          <t>PM-CLIENT-01</t>
        </is>
      </c>
      <c r="H295" s="10" t="inlineStr">
        <is>
          <t>M. Patel</t>
        </is>
      </c>
      <c r="I295" s="10" t="inlineStr">
        <is>
          <t>JPMorgan Commodities</t>
        </is>
      </c>
      <c r="J295" s="10" t="inlineStr">
        <is>
          <t>Buy</t>
        </is>
      </c>
      <c r="K295" s="10" t="inlineStr">
        <is>
          <t>Swap</t>
        </is>
      </c>
      <c r="L295" s="11" t="n">
        <v>7600</v>
      </c>
      <c r="M295" s="10" t="inlineStr">
        <is>
          <t>troy oz</t>
        </is>
      </c>
      <c r="N295" s="12" t="n">
        <v>2334.4112</v>
      </c>
      <c r="O295" s="12" t="n">
        <v>2329.894</v>
      </c>
      <c r="P295" s="13" t="n">
        <v>17741525.12</v>
      </c>
      <c r="Q295" s="10" t="inlineStr">
        <is>
          <t>Settled</t>
        </is>
      </c>
      <c r="R295" s="10">
        <f>IFERROR(DATEVALUE(C295)-DATEVALUE(B295),"N/A")</f>
        <v/>
      </c>
      <c r="S295" s="10">
        <f>IF(AND(N295&lt;&gt;"",O295&lt;&gt;""),IF(N295&gt;O295,"Above","At/Below"),"N/A")</f>
        <v/>
      </c>
    </row>
    <row r="296">
      <c r="A296" s="6" t="inlineStr">
        <is>
          <t>TRD-000295</t>
        </is>
      </c>
      <c r="B296" s="6" t="inlineStr">
        <is>
          <t>2024-07-09</t>
        </is>
      </c>
      <c r="C296" s="6" t="inlineStr">
        <is>
          <t>2024-07-14</t>
        </is>
      </c>
      <c r="D296" s="6" t="inlineStr">
        <is>
          <t>Aluminium</t>
        </is>
      </c>
      <c r="E296" s="6" t="inlineStr">
        <is>
          <t>AL</t>
        </is>
      </c>
      <c r="F296" s="6" t="inlineStr">
        <is>
          <t>Base Metals</t>
        </is>
      </c>
      <c r="G296" s="6" t="inlineStr">
        <is>
          <t>BM-HEDGE-01</t>
        </is>
      </c>
      <c r="H296" s="6" t="inlineStr">
        <is>
          <t>S. Okonkwo</t>
        </is>
      </c>
      <c r="I296" s="6" t="inlineStr">
        <is>
          <t>Goldman Sachs</t>
        </is>
      </c>
      <c r="J296" s="6" t="inlineStr">
        <is>
          <t>Sell</t>
        </is>
      </c>
      <c r="K296" s="6" t="inlineStr">
        <is>
          <t>Spot</t>
        </is>
      </c>
      <c r="L296" s="7" t="n">
        <v>3675</v>
      </c>
      <c r="M296" s="6" t="inlineStr">
        <is>
          <t>MT</t>
        </is>
      </c>
      <c r="N296" s="8" t="n">
        <v>2487.7436</v>
      </c>
      <c r="O296" s="8" t="n">
        <v>2487.923</v>
      </c>
      <c r="P296" s="9" t="n">
        <v>9142457.73</v>
      </c>
      <c r="Q296" s="6" t="inlineStr">
        <is>
          <t>Pending</t>
        </is>
      </c>
      <c r="R296" s="6">
        <f>IFERROR(DATEVALUE(C296)-DATEVALUE(B296),"N/A")</f>
        <v/>
      </c>
      <c r="S296" s="6">
        <f>IF(AND(N296&lt;&gt;"",O296&lt;&gt;""),IF(N296&gt;O296,"Above","At/Below"),"N/A")</f>
        <v/>
      </c>
    </row>
    <row r="297">
      <c r="A297" s="10" t="inlineStr">
        <is>
          <t>TRD-000296</t>
        </is>
      </c>
      <c r="B297" s="10" t="inlineStr">
        <is>
          <t>2024-10-10</t>
        </is>
      </c>
      <c r="C297" s="10" t="inlineStr">
        <is>
          <t>2024-10-12</t>
        </is>
      </c>
      <c r="D297" s="10" t="inlineStr">
        <is>
          <t>Zinc</t>
        </is>
      </c>
      <c r="E297" s="10" t="inlineStr">
        <is>
          <t>ZN</t>
        </is>
      </c>
      <c r="F297" s="10" t="inlineStr">
        <is>
          <t>Base Metals</t>
        </is>
      </c>
      <c r="G297" s="10" t="inlineStr">
        <is>
          <t>BM-PROP-01</t>
        </is>
      </c>
      <c r="H297" s="10" t="inlineStr">
        <is>
          <t>J. Kowalski</t>
        </is>
      </c>
      <c r="I297" s="10" t="inlineStr">
        <is>
          <t>UBS AG</t>
        </is>
      </c>
      <c r="J297" s="10" t="inlineStr">
        <is>
          <t>Sell</t>
        </is>
      </c>
      <c r="K297" s="10" t="inlineStr">
        <is>
          <t>Swap</t>
        </is>
      </c>
      <c r="L297" s="11" t="n">
        <v>325</v>
      </c>
      <c r="M297" s="10" t="inlineStr">
        <is>
          <t>MT</t>
        </is>
      </c>
      <c r="N297" s="12" t="n">
        <v>2865.554</v>
      </c>
      <c r="O297" s="12" t="n">
        <v>2853.3439</v>
      </c>
      <c r="P297" s="13" t="n">
        <v>931305.05</v>
      </c>
      <c r="Q297" s="10" t="inlineStr">
        <is>
          <t>Settled</t>
        </is>
      </c>
      <c r="R297" s="10">
        <f>IFERROR(DATEVALUE(C297)-DATEVALUE(B297),"N/A")</f>
        <v/>
      </c>
      <c r="S297" s="10">
        <f>IF(AND(N297&lt;&gt;"",O297&lt;&gt;""),IF(N297&gt;O297,"Above","At/Below"),"N/A")</f>
        <v/>
      </c>
    </row>
    <row r="298">
      <c r="A298" s="6" t="inlineStr">
        <is>
          <t>TRD-000297</t>
        </is>
      </c>
      <c r="B298" s="6" t="inlineStr">
        <is>
          <t>2024-07-19</t>
        </is>
      </c>
      <c r="C298" s="6" t="inlineStr">
        <is>
          <t>2024-07-24</t>
        </is>
      </c>
      <c r="D298" s="6" t="inlineStr">
        <is>
          <t>Copper</t>
        </is>
      </c>
      <c r="E298" s="6" t="inlineStr">
        <is>
          <t>HG</t>
        </is>
      </c>
      <c r="F298" s="6" t="inlineStr">
        <is>
          <t>Base Metals</t>
        </is>
      </c>
      <c r="G298" s="6" t="inlineStr">
        <is>
          <t>BM-HEDGE-01</t>
        </is>
      </c>
      <c r="H298" s="6" t="inlineStr">
        <is>
          <t>A. Dubois</t>
        </is>
      </c>
      <c r="I298" s="6" t="inlineStr">
        <is>
          <t>BNP Paribas</t>
        </is>
      </c>
      <c r="J298" s="6" t="inlineStr">
        <is>
          <t>Buy</t>
        </is>
      </c>
      <c r="K298" s="6" t="inlineStr">
        <is>
          <t>Swap</t>
        </is>
      </c>
      <c r="L298" s="7" t="n">
        <v>4400</v>
      </c>
      <c r="M298" s="6" t="inlineStr">
        <is>
          <t>lbs</t>
        </is>
      </c>
      <c r="N298" s="8" t="n">
        <v>4.297</v>
      </c>
      <c r="O298" s="8" t="n">
        <v>4.2987</v>
      </c>
      <c r="P298" s="9" t="n">
        <v>18906.8</v>
      </c>
      <c r="Q298" s="6" t="inlineStr">
        <is>
          <t>Confirmed</t>
        </is>
      </c>
      <c r="R298" s="6">
        <f>IFERROR(DATEVALUE(C298)-DATEVALUE(B298),"N/A")</f>
        <v/>
      </c>
      <c r="S298" s="6">
        <f>IF(AND(N298&lt;&gt;"",O298&lt;&gt;""),IF(N298&gt;O298,"Above","At/Below"),"N/A")</f>
        <v/>
      </c>
    </row>
    <row r="299">
      <c r="A299" s="10" t="inlineStr">
        <is>
          <t>TRD-000298</t>
        </is>
      </c>
      <c r="B299" s="10" t="inlineStr">
        <is>
          <t>2024-10-25</t>
        </is>
      </c>
      <c r="C299" s="10" t="inlineStr">
        <is>
          <t>2024-11-24</t>
        </is>
      </c>
      <c r="D299" s="10" t="inlineStr">
        <is>
          <t>Aluminium</t>
        </is>
      </c>
      <c r="E299" s="10" t="inlineStr">
        <is>
          <t>AL</t>
        </is>
      </c>
      <c r="F299" s="10" t="inlineStr">
        <is>
          <t>Base Metals</t>
        </is>
      </c>
      <c r="G299" s="10" t="inlineStr">
        <is>
          <t>BM-HEDGE-01</t>
        </is>
      </c>
      <c r="H299" s="10" t="inlineStr">
        <is>
          <t>T. Vasquez</t>
        </is>
      </c>
      <c r="I299" s="10" t="inlineStr">
        <is>
          <t>Barclays Metals</t>
        </is>
      </c>
      <c r="J299" s="10" t="inlineStr">
        <is>
          <t>Sell</t>
        </is>
      </c>
      <c r="K299" s="10" t="inlineStr">
        <is>
          <t>Spot</t>
        </is>
      </c>
      <c r="L299" s="11" t="n">
        <v>1225</v>
      </c>
      <c r="M299" s="10" t="inlineStr">
        <is>
          <t>MT</t>
        </is>
      </c>
      <c r="N299" s="12" t="n">
        <v>2495.0263</v>
      </c>
      <c r="O299" s="12" t="n">
        <v>2485.6609</v>
      </c>
      <c r="P299" s="13" t="n">
        <v>3056407.22</v>
      </c>
      <c r="Q299" s="10" t="inlineStr">
        <is>
          <t>Settled</t>
        </is>
      </c>
      <c r="R299" s="10">
        <f>IFERROR(DATEVALUE(C299)-DATEVALUE(B299),"N/A")</f>
        <v/>
      </c>
      <c r="S299" s="10">
        <f>IF(AND(N299&lt;&gt;"",O299&lt;&gt;""),IF(N299&gt;O299,"Above","At/Below"),"N/A")</f>
        <v/>
      </c>
    </row>
    <row r="300">
      <c r="A300" s="6" t="inlineStr">
        <is>
          <t>TRD-000299</t>
        </is>
      </c>
      <c r="B300" s="6" t="inlineStr">
        <is>
          <t>2024-04-24</t>
        </is>
      </c>
      <c r="C300" s="6" t="inlineStr">
        <is>
          <t>2024-04-26</t>
        </is>
      </c>
      <c r="D300" s="6" t="inlineStr">
        <is>
          <t>Gold</t>
        </is>
      </c>
      <c r="E300" s="6" t="inlineStr">
        <is>
          <t>XAU</t>
        </is>
      </c>
      <c r="F300" s="6" t="inlineStr">
        <is>
          <t>Precious Metals</t>
        </is>
      </c>
      <c r="G300" s="6" t="inlineStr">
        <is>
          <t>PM-CLIENT-01</t>
        </is>
      </c>
      <c r="H300" s="6" t="inlineStr">
        <is>
          <t>J. Kowalski</t>
        </is>
      </c>
      <c r="I300" s="6" t="inlineStr">
        <is>
          <t>Standard Chartered</t>
        </is>
      </c>
      <c r="J300" s="6" t="inlineStr">
        <is>
          <t>Sell</t>
        </is>
      </c>
      <c r="K300" s="6" t="inlineStr">
        <is>
          <t>Spot</t>
        </is>
      </c>
      <c r="L300" s="7" t="n">
        <v>26000</v>
      </c>
      <c r="M300" s="6" t="inlineStr">
        <is>
          <t>troy oz</t>
        </is>
      </c>
      <c r="N300" s="8" t="n">
        <v>2314.742</v>
      </c>
      <c r="O300" s="8" t="n">
        <v>2305.6139</v>
      </c>
      <c r="P300" s="9" t="n">
        <v>60183292</v>
      </c>
      <c r="Q300" s="6" t="inlineStr">
        <is>
          <t>Confirmed</t>
        </is>
      </c>
      <c r="R300" s="6">
        <f>IFERROR(DATEVALUE(C300)-DATEVALUE(B300),"N/A")</f>
        <v/>
      </c>
      <c r="S300" s="6">
        <f>IF(AND(N300&lt;&gt;"",O300&lt;&gt;""),IF(N300&gt;O300,"Above","At/Below"),"N/A")</f>
        <v/>
      </c>
    </row>
    <row r="301">
      <c r="A301" s="10" t="inlineStr">
        <is>
          <t>TRD-000300</t>
        </is>
      </c>
      <c r="B301" s="10" t="inlineStr">
        <is>
          <t>2024-06-27</t>
        </is>
      </c>
      <c r="C301" s="10" t="inlineStr">
        <is>
          <t>2024-06-29</t>
        </is>
      </c>
      <c r="D301" s="10" t="inlineStr">
        <is>
          <t>Palladium</t>
        </is>
      </c>
      <c r="E301" s="10" t="inlineStr">
        <is>
          <t>XPD</t>
        </is>
      </c>
      <c r="F301" s="10" t="inlineStr">
        <is>
          <t>Precious Metals</t>
        </is>
      </c>
      <c r="G301" s="10" t="inlineStr">
        <is>
          <t>PM-PROP-01</t>
        </is>
      </c>
      <c r="H301" s="10" t="inlineStr">
        <is>
          <t>T. Vasquez</t>
        </is>
      </c>
      <c r="I301" s="10" t="inlineStr">
        <is>
          <t>Barclays Metals</t>
        </is>
      </c>
      <c r="J301" s="10" t="inlineStr">
        <is>
          <t>Sell</t>
        </is>
      </c>
      <c r="K301" s="10" t="inlineStr">
        <is>
          <t>Forward</t>
        </is>
      </c>
      <c r="L301" s="11" t="n">
        <v>47100</v>
      </c>
      <c r="M301" s="10" t="inlineStr">
        <is>
          <t>troy oz</t>
        </is>
      </c>
      <c r="N301" s="12" t="n">
        <v>1045.3412</v>
      </c>
      <c r="O301" s="12" t="n">
        <v>1045.4271</v>
      </c>
      <c r="P301" s="13" t="n">
        <v>49235570.52</v>
      </c>
      <c r="Q301" s="10" t="inlineStr">
        <is>
          <t>Confirmed</t>
        </is>
      </c>
      <c r="R301" s="10">
        <f>IFERROR(DATEVALUE(C301)-DATEVALUE(B301),"N/A")</f>
        <v/>
      </c>
      <c r="S301" s="10">
        <f>IF(AND(N301&lt;&gt;"",O301&lt;&gt;""),IF(N301&gt;O301,"Above","At/Below"),"N/A")</f>
        <v/>
      </c>
    </row>
  </sheetData>
  <autoFilter ref="A1:S1"/>
  <conditionalFormatting sqref="Q2:Q301">
    <cfRule type="cellIs" priority="1" operator="equal" dxfId="0">
      <formula>"Cancelled"</formula>
    </cfRule>
    <cfRule type="cellIs" priority="2" operator="equal" dxfId="1">
      <formula>"Pending"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14" customWidth="1" min="4" max="4"/>
    <col width="10" customWidth="1" min="5" max="5"/>
    <col width="14" customWidth="1" min="6" max="6"/>
    <col width="16" customWidth="1" min="7" max="7"/>
    <col width="16" customWidth="1" min="8" max="8"/>
    <col width="18" customWidth="1" min="9" max="9"/>
    <col width="10" customWidth="1" min="10" max="10"/>
    <col width="8" customWidth="1" min="11" max="11"/>
  </cols>
  <sheetData>
    <row r="1" ht="30" customHeight="1">
      <c r="A1" s="14" t="inlineStr">
        <is>
          <t>DAILY PnL SUMMARY — Unrealised PnL by Metal &amp; Desk</t>
        </is>
      </c>
    </row>
    <row r="2">
      <c r="A2" s="3" t="inlineStr">
        <is>
          <t>Desk</t>
        </is>
      </c>
      <c r="B2" s="3" t="inlineStr">
        <is>
          <t>Metal</t>
        </is>
      </c>
      <c r="C2" s="3" t="inlineStr">
        <is>
          <t>Symbol</t>
        </is>
      </c>
      <c r="D2" s="3" t="inlineStr">
        <is>
          <t>Net Qty</t>
        </is>
      </c>
      <c r="E2" s="3" t="inlineStr">
        <is>
          <t>Unit</t>
        </is>
      </c>
      <c r="F2" s="3" t="inlineStr">
        <is>
          <t>Spot (USD)</t>
        </is>
      </c>
      <c r="G2" s="3" t="inlineStr">
        <is>
          <t>MTM Value</t>
        </is>
      </c>
      <c r="H2" s="3" t="inlineStr">
        <is>
          <t>Cost Basis</t>
        </is>
      </c>
      <c r="I2" s="3" t="inlineStr">
        <is>
          <t>Unrealised PnL</t>
        </is>
      </c>
      <c r="J2" s="3" t="inlineStr">
        <is>
          <t>PnL %</t>
        </is>
      </c>
      <c r="K2" s="3" t="inlineStr">
        <is>
          <t>L/S</t>
        </is>
      </c>
    </row>
    <row r="3">
      <c r="A3" t="inlineStr">
        <is>
          <t>Precious Metals</t>
        </is>
      </c>
      <c r="B3" t="inlineStr">
        <is>
          <t>Silver</t>
        </is>
      </c>
      <c r="C3" t="inlineStr">
        <is>
          <t>XAG</t>
        </is>
      </c>
      <c r="D3" s="15" t="n">
        <v>31000</v>
      </c>
      <c r="E3" t="inlineStr">
        <is>
          <t>troy oz</t>
        </is>
      </c>
      <c r="F3" s="16" t="n">
        <v>24.3185</v>
      </c>
      <c r="G3" s="16" t="n">
        <v>753873.5</v>
      </c>
      <c r="H3" s="16" t="n">
        <v>928212.15</v>
      </c>
      <c r="I3" s="16" t="n">
        <v>-174338.65</v>
      </c>
      <c r="J3" s="17">
        <f>I3/ABS(H3)</f>
        <v/>
      </c>
      <c r="K3" t="inlineStr">
        <is>
          <t>Long</t>
        </is>
      </c>
    </row>
    <row r="4">
      <c r="A4" t="inlineStr">
        <is>
          <t>Precious Metals</t>
        </is>
      </c>
      <c r="B4" t="inlineStr">
        <is>
          <t>Gold</t>
        </is>
      </c>
      <c r="C4" t="inlineStr">
        <is>
          <t>XAU</t>
        </is>
      </c>
      <c r="D4" s="15" t="n">
        <v>10000</v>
      </c>
      <c r="E4" t="inlineStr">
        <is>
          <t>troy oz</t>
        </is>
      </c>
      <c r="F4" s="16" t="n">
        <v>2003.2628</v>
      </c>
      <c r="G4" s="16" t="n">
        <v>20032628</v>
      </c>
      <c r="H4" s="16" t="n">
        <v>32781485.44</v>
      </c>
      <c r="I4" s="16" t="n">
        <v>-12748857.44</v>
      </c>
      <c r="J4" s="17">
        <f>I4/ABS(H4)</f>
        <v/>
      </c>
      <c r="K4" t="inlineStr">
        <is>
          <t>Long</t>
        </is>
      </c>
    </row>
    <row r="5">
      <c r="A5" t="inlineStr">
        <is>
          <t>Base Metals</t>
        </is>
      </c>
      <c r="B5" t="inlineStr">
        <is>
          <t>Copper</t>
        </is>
      </c>
      <c r="C5" t="inlineStr">
        <is>
          <t>HG</t>
        </is>
      </c>
      <c r="D5" s="15" t="n">
        <v>-600</v>
      </c>
      <c r="E5" t="inlineStr">
        <is>
          <t>lbs</t>
        </is>
      </c>
      <c r="F5" s="16" t="n">
        <v>6.7362</v>
      </c>
      <c r="G5" s="16" t="n">
        <v>-4041.72</v>
      </c>
      <c r="H5" s="16" t="n">
        <v>-607.64</v>
      </c>
      <c r="I5" s="16" t="n">
        <v>-3434.08</v>
      </c>
      <c r="J5" s="17">
        <f>I5/ABS(H5)</f>
        <v/>
      </c>
      <c r="K5" t="inlineStr">
        <is>
          <t>Short</t>
        </is>
      </c>
    </row>
    <row r="6">
      <c r="A6" t="inlineStr">
        <is>
          <t>Base Metals</t>
        </is>
      </c>
      <c r="B6" t="inlineStr">
        <is>
          <t>Aluminium</t>
        </is>
      </c>
      <c r="C6" t="inlineStr">
        <is>
          <t>AL</t>
        </is>
      </c>
      <c r="D6" s="15" t="n">
        <v>-4725</v>
      </c>
      <c r="E6" t="inlineStr">
        <is>
          <t>MT</t>
        </is>
      </c>
      <c r="F6" s="16" t="n">
        <v>2606.5089</v>
      </c>
      <c r="G6" s="16" t="n">
        <v>-12315754.55</v>
      </c>
      <c r="H6" s="16" t="n">
        <v>-10884478.65</v>
      </c>
      <c r="I6" s="16" t="n">
        <v>-1431275.9</v>
      </c>
      <c r="J6" s="17">
        <f>I6/ABS(H6)</f>
        <v/>
      </c>
      <c r="K6" t="inlineStr">
        <is>
          <t>Short</t>
        </is>
      </c>
    </row>
    <row r="7">
      <c r="A7" t="inlineStr">
        <is>
          <t>Base Metals</t>
        </is>
      </c>
      <c r="B7" t="inlineStr">
        <is>
          <t>Aluminium</t>
        </is>
      </c>
      <c r="C7" t="inlineStr">
        <is>
          <t>AL</t>
        </is>
      </c>
      <c r="D7" s="15" t="n">
        <v>-27575</v>
      </c>
      <c r="E7" t="inlineStr">
        <is>
          <t>MT</t>
        </is>
      </c>
      <c r="F7" s="16" t="n">
        <v>2606.5089</v>
      </c>
      <c r="G7" s="16" t="n">
        <v>-71874482.92</v>
      </c>
      <c r="H7" s="16" t="n">
        <v>-66654606.95</v>
      </c>
      <c r="I7" s="16" t="n">
        <v>-5219875.97</v>
      </c>
      <c r="J7" s="17">
        <f>I7/ABS(H7)</f>
        <v/>
      </c>
      <c r="K7" t="inlineStr">
        <is>
          <t>Short</t>
        </is>
      </c>
    </row>
    <row r="8">
      <c r="A8" t="inlineStr">
        <is>
          <t>Base Metals</t>
        </is>
      </c>
      <c r="B8" t="inlineStr">
        <is>
          <t>Nickel</t>
        </is>
      </c>
      <c r="C8" t="inlineStr">
        <is>
          <t>NI</t>
        </is>
      </c>
      <c r="D8" s="15" t="n">
        <v>10750</v>
      </c>
      <c r="E8" t="inlineStr">
        <is>
          <t>MT</t>
        </is>
      </c>
      <c r="F8" s="16" t="n">
        <v>30050.9883</v>
      </c>
      <c r="G8" s="16" t="n">
        <v>323048124.23</v>
      </c>
      <c r="H8" s="16" t="n">
        <v>190662120.42</v>
      </c>
      <c r="I8" s="16" t="n">
        <v>132386003.81</v>
      </c>
      <c r="J8" s="17">
        <f>I8/ABS(H8)</f>
        <v/>
      </c>
      <c r="K8" t="inlineStr">
        <is>
          <t>Long</t>
        </is>
      </c>
    </row>
    <row r="9">
      <c r="A9" t="inlineStr">
        <is>
          <t>Precious Metals</t>
        </is>
      </c>
      <c r="B9" t="inlineStr">
        <is>
          <t>Palladium</t>
        </is>
      </c>
      <c r="C9" t="inlineStr">
        <is>
          <t>XPD</t>
        </is>
      </c>
      <c r="D9" s="15" t="n">
        <v>-212500</v>
      </c>
      <c r="E9" t="inlineStr">
        <is>
          <t>troy oz</t>
        </is>
      </c>
      <c r="F9" s="16" t="n">
        <v>1144.4626</v>
      </c>
      <c r="G9" s="16" t="n">
        <v>-243198302.5</v>
      </c>
      <c r="H9" s="16" t="n">
        <v>-220852491.11</v>
      </c>
      <c r="I9" s="16" t="n">
        <v>-22345811.39</v>
      </c>
      <c r="J9" s="17">
        <f>I9/ABS(H9)</f>
        <v/>
      </c>
      <c r="K9" t="inlineStr">
        <is>
          <t>Short</t>
        </is>
      </c>
    </row>
    <row r="10">
      <c r="A10" t="inlineStr">
        <is>
          <t>Precious Metals</t>
        </is>
      </c>
      <c r="B10" t="inlineStr">
        <is>
          <t>Palladium</t>
        </is>
      </c>
      <c r="C10" t="inlineStr">
        <is>
          <t>XPD</t>
        </is>
      </c>
      <c r="D10" s="15" t="n">
        <v>-158400</v>
      </c>
      <c r="E10" t="inlineStr">
        <is>
          <t>troy oz</t>
        </is>
      </c>
      <c r="F10" s="16" t="n">
        <v>1144.4626</v>
      </c>
      <c r="G10" s="16" t="n">
        <v>-181282875.84</v>
      </c>
      <c r="H10" s="16" t="n">
        <v>-166165079.01</v>
      </c>
      <c r="I10" s="16" t="n">
        <v>-15117796.83</v>
      </c>
      <c r="J10" s="17">
        <f>I10/ABS(H10)</f>
        <v/>
      </c>
      <c r="K10" t="inlineStr">
        <is>
          <t>Short</t>
        </is>
      </c>
    </row>
    <row r="11">
      <c r="A11" t="inlineStr">
        <is>
          <t>Precious Metals</t>
        </is>
      </c>
      <c r="B11" t="inlineStr">
        <is>
          <t>Gold</t>
        </is>
      </c>
      <c r="C11" t="inlineStr">
        <is>
          <t>XAU</t>
        </is>
      </c>
      <c r="D11" s="15" t="n">
        <v>-107200</v>
      </c>
      <c r="E11" t="inlineStr">
        <is>
          <t>troy oz</t>
        </is>
      </c>
      <c r="F11" s="16" t="n">
        <v>2003.2628</v>
      </c>
      <c r="G11" s="16" t="n">
        <v>-214749772.16</v>
      </c>
      <c r="H11" s="16" t="n">
        <v>-244614716.35</v>
      </c>
      <c r="I11" s="16" t="n">
        <v>29864944.19</v>
      </c>
      <c r="J11" s="17">
        <f>I11/ABS(H11)</f>
        <v/>
      </c>
      <c r="K11" t="inlineStr">
        <is>
          <t>Short</t>
        </is>
      </c>
    </row>
    <row r="12">
      <c r="A12" t="inlineStr">
        <is>
          <t>Precious Metals</t>
        </is>
      </c>
      <c r="B12" t="inlineStr">
        <is>
          <t>Platinum</t>
        </is>
      </c>
      <c r="C12" t="inlineStr">
        <is>
          <t>XPT</t>
        </is>
      </c>
      <c r="D12" s="15" t="n">
        <v>-73500</v>
      </c>
      <c r="E12" t="inlineStr">
        <is>
          <t>troy oz</t>
        </is>
      </c>
      <c r="F12" s="16" t="n">
        <v>1420.3915</v>
      </c>
      <c r="G12" s="16" t="n">
        <v>-104398775.25</v>
      </c>
      <c r="H12" s="16" t="n">
        <v>-72811778.88</v>
      </c>
      <c r="I12" s="16" t="n">
        <v>-31586996.37</v>
      </c>
      <c r="J12" s="17">
        <f>I12/ABS(H12)</f>
        <v/>
      </c>
      <c r="K12" t="inlineStr">
        <is>
          <t>Short</t>
        </is>
      </c>
    </row>
    <row r="13">
      <c r="A13" t="inlineStr">
        <is>
          <t>Base Metals</t>
        </is>
      </c>
      <c r="B13" t="inlineStr">
        <is>
          <t>Zinc</t>
        </is>
      </c>
      <c r="C13" t="inlineStr">
        <is>
          <t>ZN</t>
        </is>
      </c>
      <c r="D13" s="15" t="n">
        <v>-3425</v>
      </c>
      <c r="E13" t="inlineStr">
        <is>
          <t>MT</t>
        </is>
      </c>
      <c r="F13" s="16" t="n">
        <v>2476.8669</v>
      </c>
      <c r="G13" s="16" t="n">
        <v>-8483269.130000001</v>
      </c>
      <c r="H13" s="16" t="n">
        <v>-9251102.85</v>
      </c>
      <c r="I13" s="16" t="n">
        <v>767833.72</v>
      </c>
      <c r="J13" s="17">
        <f>I13/ABS(H13)</f>
        <v/>
      </c>
      <c r="K13" t="inlineStr">
        <is>
          <t>Short</t>
        </is>
      </c>
    </row>
    <row r="14">
      <c r="A14" t="inlineStr">
        <is>
          <t>Base Metals</t>
        </is>
      </c>
      <c r="B14" t="inlineStr">
        <is>
          <t>Aluminium</t>
        </is>
      </c>
      <c r="C14" t="inlineStr">
        <is>
          <t>AL</t>
        </is>
      </c>
      <c r="D14" s="15" t="n">
        <v>9825</v>
      </c>
      <c r="E14" t="inlineStr">
        <is>
          <t>MT</t>
        </is>
      </c>
      <c r="F14" s="16" t="n">
        <v>2606.5089</v>
      </c>
      <c r="G14" s="16" t="n">
        <v>25608949.94</v>
      </c>
      <c r="H14" s="16" t="n">
        <v>23326117.86</v>
      </c>
      <c r="I14" s="16" t="n">
        <v>2282832.08</v>
      </c>
      <c r="J14" s="17">
        <f>I14/ABS(H14)</f>
        <v/>
      </c>
      <c r="K14" t="inlineStr">
        <is>
          <t>Long</t>
        </is>
      </c>
    </row>
    <row r="15">
      <c r="A15" t="inlineStr">
        <is>
          <t>Base Metals</t>
        </is>
      </c>
      <c r="B15" t="inlineStr">
        <is>
          <t>Copper</t>
        </is>
      </c>
      <c r="C15" t="inlineStr">
        <is>
          <t>HG</t>
        </is>
      </c>
      <c r="D15" s="15" t="n">
        <v>7675</v>
      </c>
      <c r="E15" t="inlineStr">
        <is>
          <t>lbs</t>
        </is>
      </c>
      <c r="F15" s="16" t="n">
        <v>6.7362</v>
      </c>
      <c r="G15" s="16" t="n">
        <v>51700.33</v>
      </c>
      <c r="H15" s="16" t="n">
        <v>31490.73</v>
      </c>
      <c r="I15" s="16" t="n">
        <v>20209.6</v>
      </c>
      <c r="J15" s="17">
        <f>I15/ABS(H15)</f>
        <v/>
      </c>
      <c r="K15" t="inlineStr">
        <is>
          <t>Long</t>
        </is>
      </c>
    </row>
    <row r="16">
      <c r="A16" t="inlineStr">
        <is>
          <t>Base Metals</t>
        </is>
      </c>
      <c r="B16" t="inlineStr">
        <is>
          <t>Zinc</t>
        </is>
      </c>
      <c r="C16" t="inlineStr">
        <is>
          <t>ZN</t>
        </is>
      </c>
      <c r="D16" s="15" t="n">
        <v>-550</v>
      </c>
      <c r="E16" t="inlineStr">
        <is>
          <t>MT</t>
        </is>
      </c>
      <c r="F16" s="16" t="n">
        <v>2476.8669</v>
      </c>
      <c r="G16" s="16" t="n">
        <v>-1362276.79</v>
      </c>
      <c r="H16" s="16" t="n">
        <v>276428.69</v>
      </c>
      <c r="I16" s="16" t="n">
        <v>-1638705.48</v>
      </c>
      <c r="J16" s="17">
        <f>I16/ABS(H16)</f>
        <v/>
      </c>
      <c r="K16" t="inlineStr">
        <is>
          <t>Short</t>
        </is>
      </c>
    </row>
    <row r="17">
      <c r="A17" t="inlineStr">
        <is>
          <t>Precious Metals</t>
        </is>
      </c>
      <c r="B17" t="inlineStr">
        <is>
          <t>Platinum</t>
        </is>
      </c>
      <c r="C17" t="inlineStr">
        <is>
          <t>XPT</t>
        </is>
      </c>
      <c r="D17" s="15" t="n">
        <v>-127400</v>
      </c>
      <c r="E17" t="inlineStr">
        <is>
          <t>troy oz</t>
        </is>
      </c>
      <c r="F17" s="16" t="n">
        <v>1420.3915</v>
      </c>
      <c r="G17" s="16" t="n">
        <v>-180957877.1</v>
      </c>
      <c r="H17" s="16" t="n">
        <v>-124467392.35</v>
      </c>
      <c r="I17" s="16" t="n">
        <v>-56490484.75</v>
      </c>
      <c r="J17" s="17">
        <f>I17/ABS(H17)</f>
        <v/>
      </c>
      <c r="K17" t="inlineStr">
        <is>
          <t>Short</t>
        </is>
      </c>
    </row>
    <row r="18">
      <c r="A18" t="inlineStr">
        <is>
          <t>Precious Metals</t>
        </is>
      </c>
      <c r="B18" t="inlineStr">
        <is>
          <t>Silver</t>
        </is>
      </c>
      <c r="C18" t="inlineStr">
        <is>
          <t>XAG</t>
        </is>
      </c>
      <c r="D18" s="15" t="n">
        <v>-136900</v>
      </c>
      <c r="E18" t="inlineStr">
        <is>
          <t>troy oz</t>
        </is>
      </c>
      <c r="F18" s="16" t="n">
        <v>24.3185</v>
      </c>
      <c r="G18" s="16" t="n">
        <v>-3329202.65</v>
      </c>
      <c r="H18" s="16" t="n">
        <v>-3828946.02</v>
      </c>
      <c r="I18" s="16" t="n">
        <v>499743.37</v>
      </c>
      <c r="J18" s="17">
        <f>I18/ABS(H18)</f>
        <v/>
      </c>
      <c r="K18" t="inlineStr">
        <is>
          <t>Short</t>
        </is>
      </c>
    </row>
    <row r="19">
      <c r="A19" t="inlineStr">
        <is>
          <t>Precious Metals</t>
        </is>
      </c>
      <c r="B19" t="inlineStr">
        <is>
          <t>Palladium</t>
        </is>
      </c>
      <c r="C19" t="inlineStr">
        <is>
          <t>XPD</t>
        </is>
      </c>
      <c r="D19" s="15" t="n">
        <v>-55700</v>
      </c>
      <c r="E19" t="inlineStr">
        <is>
          <t>troy oz</t>
        </is>
      </c>
      <c r="F19" s="16" t="n">
        <v>1144.4626</v>
      </c>
      <c r="G19" s="16" t="n">
        <v>-63746566.82</v>
      </c>
      <c r="H19" s="16" t="n">
        <v>-60849899.37</v>
      </c>
      <c r="I19" s="16" t="n">
        <v>-2896667.45</v>
      </c>
      <c r="J19" s="17">
        <f>I19/ABS(H19)</f>
        <v/>
      </c>
      <c r="K19" t="inlineStr">
        <is>
          <t>Short</t>
        </is>
      </c>
    </row>
    <row r="20">
      <c r="A20" t="inlineStr">
        <is>
          <t>Precious Metals</t>
        </is>
      </c>
      <c r="B20" t="inlineStr">
        <is>
          <t>Silver</t>
        </is>
      </c>
      <c r="C20" t="inlineStr">
        <is>
          <t>XAG</t>
        </is>
      </c>
      <c r="D20" s="15" t="n">
        <v>8700</v>
      </c>
      <c r="E20" t="inlineStr">
        <is>
          <t>troy oz</t>
        </is>
      </c>
      <c r="F20" s="16" t="n">
        <v>24.3185</v>
      </c>
      <c r="G20" s="16" t="n">
        <v>211570.95</v>
      </c>
      <c r="H20" s="16" t="n">
        <v>256962.95</v>
      </c>
      <c r="I20" s="16" t="n">
        <v>-45392</v>
      </c>
      <c r="J20" s="17">
        <f>I20/ABS(H20)</f>
        <v/>
      </c>
      <c r="K20" t="inlineStr">
        <is>
          <t>Long</t>
        </is>
      </c>
    </row>
    <row r="21">
      <c r="A21" t="inlineStr">
        <is>
          <t>Base Metals</t>
        </is>
      </c>
      <c r="B21" t="inlineStr">
        <is>
          <t>Zinc</t>
        </is>
      </c>
      <c r="C21" t="inlineStr">
        <is>
          <t>ZN</t>
        </is>
      </c>
      <c r="D21" s="15" t="n">
        <v>1475</v>
      </c>
      <c r="E21" t="inlineStr">
        <is>
          <t>MT</t>
        </is>
      </c>
      <c r="F21" s="16" t="n">
        <v>2476.8669</v>
      </c>
      <c r="G21" s="16" t="n">
        <v>3653378.68</v>
      </c>
      <c r="H21" s="16" t="n">
        <v>4757032.74</v>
      </c>
      <c r="I21" s="16" t="n">
        <v>-1103654.06</v>
      </c>
      <c r="J21" s="17">
        <f>I21/ABS(H21)</f>
        <v/>
      </c>
      <c r="K21" t="inlineStr">
        <is>
          <t>Long</t>
        </is>
      </c>
    </row>
    <row r="22">
      <c r="A22" t="inlineStr">
        <is>
          <t>Base Metals</t>
        </is>
      </c>
      <c r="B22" t="inlineStr">
        <is>
          <t>Nickel</t>
        </is>
      </c>
      <c r="C22" t="inlineStr">
        <is>
          <t>NI</t>
        </is>
      </c>
      <c r="D22" s="15" t="n">
        <v>2600</v>
      </c>
      <c r="E22" t="inlineStr">
        <is>
          <t>MT</t>
        </is>
      </c>
      <c r="F22" s="16" t="n">
        <v>30050.9883</v>
      </c>
      <c r="G22" s="16" t="n">
        <v>78132569.58</v>
      </c>
      <c r="H22" s="16" t="n">
        <v>53248050.89</v>
      </c>
      <c r="I22" s="16" t="n">
        <v>24884518.69</v>
      </c>
      <c r="J22" s="17">
        <f>I22/ABS(H22)</f>
        <v/>
      </c>
      <c r="K22" t="inlineStr">
        <is>
          <t>Long</t>
        </is>
      </c>
    </row>
    <row r="23">
      <c r="A23" t="inlineStr">
        <is>
          <t>Precious Metals</t>
        </is>
      </c>
      <c r="B23" t="inlineStr">
        <is>
          <t>Gold</t>
        </is>
      </c>
      <c r="C23" t="inlineStr">
        <is>
          <t>XAU</t>
        </is>
      </c>
      <c r="D23" s="15" t="n">
        <v>-80200</v>
      </c>
      <c r="E23" t="inlineStr">
        <is>
          <t>troy oz</t>
        </is>
      </c>
      <c r="F23" s="16" t="n">
        <v>2003.2628</v>
      </c>
      <c r="G23" s="16" t="n">
        <v>-160661676.56</v>
      </c>
      <c r="H23" s="16" t="n">
        <v>-193479194.84</v>
      </c>
      <c r="I23" s="16" t="n">
        <v>32817518.28</v>
      </c>
      <c r="J23" s="17">
        <f>I23/ABS(H23)</f>
        <v/>
      </c>
      <c r="K23" t="inlineStr">
        <is>
          <t>Short</t>
        </is>
      </c>
    </row>
    <row r="24">
      <c r="A24" t="inlineStr">
        <is>
          <t>Base Metals</t>
        </is>
      </c>
      <c r="B24" t="inlineStr">
        <is>
          <t>Nickel</t>
        </is>
      </c>
      <c r="C24" t="inlineStr">
        <is>
          <t>NI</t>
        </is>
      </c>
      <c r="D24" s="15" t="n">
        <v>22875</v>
      </c>
      <c r="E24" t="inlineStr">
        <is>
          <t>MT</t>
        </is>
      </c>
      <c r="F24" s="16" t="n">
        <v>30050.9883</v>
      </c>
      <c r="G24" s="16" t="n">
        <v>687416357.36</v>
      </c>
      <c r="H24" s="16" t="n">
        <v>406087539.06</v>
      </c>
      <c r="I24" s="16" t="n">
        <v>281328818.3</v>
      </c>
      <c r="J24" s="17">
        <f>I24/ABS(H24)</f>
        <v/>
      </c>
      <c r="K24" t="inlineStr">
        <is>
          <t>Long</t>
        </is>
      </c>
    </row>
    <row r="25">
      <c r="A25" t="inlineStr">
        <is>
          <t>Precious Metals</t>
        </is>
      </c>
      <c r="B25" t="inlineStr">
        <is>
          <t>Platinum</t>
        </is>
      </c>
      <c r="C25" t="inlineStr">
        <is>
          <t>XPT</t>
        </is>
      </c>
      <c r="D25" s="15" t="n">
        <v>-8900</v>
      </c>
      <c r="E25" t="inlineStr">
        <is>
          <t>troy oz</t>
        </is>
      </c>
      <c r="F25" s="16" t="n">
        <v>1420.3915</v>
      </c>
      <c r="G25" s="16" t="n">
        <v>-12641484.35</v>
      </c>
      <c r="H25" s="16" t="n">
        <v>-10460457.99</v>
      </c>
      <c r="I25" s="16" t="n">
        <v>-2181026.36</v>
      </c>
      <c r="J25" s="17">
        <f>I25/ABS(H25)</f>
        <v/>
      </c>
      <c r="K25" t="inlineStr">
        <is>
          <t>Short</t>
        </is>
      </c>
    </row>
    <row r="26">
      <c r="A26" t="inlineStr">
        <is>
          <t>Base Metals</t>
        </is>
      </c>
      <c r="B26" t="inlineStr">
        <is>
          <t>Copper</t>
        </is>
      </c>
      <c r="C26" t="inlineStr">
        <is>
          <t>HG</t>
        </is>
      </c>
      <c r="D26" s="15" t="n">
        <v>3575</v>
      </c>
      <c r="E26" t="inlineStr">
        <is>
          <t>lbs</t>
        </is>
      </c>
      <c r="F26" s="16" t="n">
        <v>6.7362</v>
      </c>
      <c r="G26" s="16" t="n">
        <v>24081.92</v>
      </c>
      <c r="H26" s="16" t="n">
        <v>15411.34</v>
      </c>
      <c r="I26" s="16" t="n">
        <v>8670.58</v>
      </c>
      <c r="J26" s="17">
        <f>I26/ABS(H26)</f>
        <v/>
      </c>
      <c r="K26" t="inlineStr">
        <is>
          <t>Long</t>
        </is>
      </c>
    </row>
    <row r="28">
      <c r="A28" s="18" t="inlineStr">
        <is>
          <t>TOTAL</t>
        </is>
      </c>
      <c r="G28" s="19">
        <f>SUM(G3:G26)</f>
        <v/>
      </c>
      <c r="H28" s="19">
        <f>SUM(H3:H26)</f>
        <v/>
      </c>
      <c r="I28" s="19">
        <f>SUM(I3:I26)</f>
        <v/>
      </c>
    </row>
    <row r="31">
      <c r="A31" s="20" t="inlineStr">
        <is>
          <t>DESK ROLLUP (SUMIF)</t>
        </is>
      </c>
    </row>
    <row r="32">
      <c r="A32" t="inlineStr">
        <is>
          <t>Precious Metals PnL:</t>
        </is>
      </c>
      <c r="B32" s="16">
        <f>SUMIF(A3:A26,"Precious Metals",I3:I26)</f>
        <v/>
      </c>
    </row>
    <row r="33">
      <c r="A33" t="inlineStr">
        <is>
          <t>Base Metals PnL:</t>
        </is>
      </c>
      <c r="B33" s="16">
        <f>SUMIF(A3:A26,"Base Metals",I3:I26)</f>
        <v/>
      </c>
    </row>
    <row r="34">
      <c r="A34" t="inlineStr">
        <is>
          <t>Total PnL Check:</t>
        </is>
      </c>
      <c r="B34" s="16">
        <f>B32+B33</f>
        <v/>
      </c>
    </row>
  </sheetData>
  <mergeCells count="1">
    <mergeCell ref="A1:H1"/>
  </mergeCells>
  <conditionalFormatting sqref="I3:I26">
    <cfRule type="cellIs" priority="1" operator="greaterThan" dxfId="2">
      <formula>0</formula>
    </cfRule>
    <cfRule type="cellIs" priority="2" operator="less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12" customWidth="1" min="5" max="5"/>
    <col width="16" customWidth="1" min="6" max="6"/>
    <col width="10" customWidth="1" min="7" max="7"/>
  </cols>
  <sheetData>
    <row r="1">
      <c r="A1" s="14" t="inlineStr">
        <is>
          <t>RISK EXPOSURE — Gross/Net Notional by Metal</t>
        </is>
      </c>
    </row>
    <row r="3">
      <c r="A3" s="20" t="inlineStr">
        <is>
          <t>SCENARIO INPUTS</t>
        </is>
      </c>
    </row>
    <row r="4">
      <c r="A4" s="21" t="inlineStr">
        <is>
          <t>Spot shock (%):</t>
        </is>
      </c>
      <c r="B4" s="22" t="n">
        <v>0</v>
      </c>
    </row>
    <row r="5">
      <c r="A5" s="23" t="inlineStr">
        <is>
          <t>→ Adjust B4 to stress-test MTM values below</t>
        </is>
      </c>
    </row>
    <row r="7">
      <c r="A7" s="3" t="inlineStr">
        <is>
          <t>Metal</t>
        </is>
      </c>
      <c r="B7" s="3" t="inlineStr">
        <is>
          <t>Gross Long (USD)</t>
        </is>
      </c>
      <c r="C7" s="3" t="inlineStr">
        <is>
          <t>Gross Short (USD)</t>
        </is>
      </c>
      <c r="D7" s="3" t="inlineStr">
        <is>
          <t>Net Exposure (USD)</t>
        </is>
      </c>
      <c r="E7" s="3" t="inlineStr">
        <is>
          <t>Trade Count</t>
        </is>
      </c>
      <c r="F7" s="3" t="inlineStr">
        <is>
          <t>Concentration %</t>
        </is>
      </c>
      <c r="G7" s="3" t="inlineStr">
        <is>
          <t>Flag</t>
        </is>
      </c>
    </row>
    <row r="8">
      <c r="A8" t="inlineStr">
        <is>
          <t>Aluminium</t>
        </is>
      </c>
      <c r="B8" s="16" t="n">
        <v>84081402.43000001</v>
      </c>
      <c r="C8" s="16" t="n">
        <v>138294370.17</v>
      </c>
      <c r="D8" s="16" t="n">
        <v>-54212967.74000001</v>
      </c>
      <c r="E8" t="n">
        <v>34</v>
      </c>
      <c r="F8" s="17" t="n">
        <v>0.04197034848129474</v>
      </c>
      <c r="G8" t="inlineStr">
        <is>
          <t>✓ OK</t>
        </is>
      </c>
    </row>
    <row r="9">
      <c r="A9" t="inlineStr">
        <is>
          <t>Copper</t>
        </is>
      </c>
      <c r="B9" s="16" t="n">
        <v>200706.89</v>
      </c>
      <c r="C9" s="16" t="n">
        <v>154412.46</v>
      </c>
      <c r="D9" s="16" t="n">
        <v>46294.42999999996</v>
      </c>
      <c r="E9" t="n">
        <v>37</v>
      </c>
      <c r="F9" s="17" t="n">
        <v>6.702386099748563e-05</v>
      </c>
      <c r="G9" t="inlineStr">
        <is>
          <t>✓ OK</t>
        </is>
      </c>
    </row>
    <row r="10">
      <c r="A10" t="inlineStr">
        <is>
          <t>Gold</t>
        </is>
      </c>
      <c r="B10" s="16" t="n">
        <v>551328261.77</v>
      </c>
      <c r="C10" s="16" t="n">
        <v>956640687.5200001</v>
      </c>
      <c r="D10" s="16" t="n">
        <v>-405312425.7500001</v>
      </c>
      <c r="E10" t="n">
        <v>26</v>
      </c>
      <c r="F10" s="17" t="n">
        <v>0.2846082626748934</v>
      </c>
      <c r="G10" t="inlineStr">
        <is>
          <t>~ MED</t>
        </is>
      </c>
    </row>
    <row r="11">
      <c r="A11" t="inlineStr">
        <is>
          <t>Nickel</t>
        </is>
      </c>
      <c r="B11" s="16" t="n">
        <v>1089854695.62</v>
      </c>
      <c r="C11" s="16" t="n">
        <v>439856985.25</v>
      </c>
      <c r="D11" s="16" t="n">
        <v>649997710.3700001</v>
      </c>
      <c r="E11" t="n">
        <v>39</v>
      </c>
      <c r="F11" s="17" t="n">
        <v>0.2887119022516261</v>
      </c>
      <c r="G11" t="inlineStr">
        <is>
          <t>~ MED</t>
        </is>
      </c>
    </row>
    <row r="12">
      <c r="A12" t="inlineStr">
        <is>
          <t>Palladium</t>
        </is>
      </c>
      <c r="B12" s="16" t="n">
        <v>274415253.72</v>
      </c>
      <c r="C12" s="16" t="n">
        <v>722282723.2100002</v>
      </c>
      <c r="D12" s="16" t="n">
        <v>-447867469.4900001</v>
      </c>
      <c r="E12" t="n">
        <v>38</v>
      </c>
      <c r="F12" s="17" t="n">
        <v>0.1881129447388082</v>
      </c>
      <c r="G12" t="inlineStr">
        <is>
          <t>✓ OK</t>
        </is>
      </c>
    </row>
    <row r="13">
      <c r="A13" t="inlineStr">
        <is>
          <t>Platinum</t>
        </is>
      </c>
      <c r="B13" s="16" t="n">
        <v>262877274.51</v>
      </c>
      <c r="C13" s="16" t="n">
        <v>470616903.73</v>
      </c>
      <c r="D13" s="16" t="n">
        <v>-207739629.22</v>
      </c>
      <c r="E13" t="n">
        <v>31</v>
      </c>
      <c r="F13" s="17" t="n">
        <v>0.1384368715611321</v>
      </c>
      <c r="G13" t="inlineStr">
        <is>
          <t>✓ OK</t>
        </is>
      </c>
    </row>
    <row r="14">
      <c r="A14" t="inlineStr">
        <is>
          <t>Silver</t>
        </is>
      </c>
      <c r="B14" s="16" t="n">
        <v>9293896.129999999</v>
      </c>
      <c r="C14" s="16" t="n">
        <v>11937667.05</v>
      </c>
      <c r="D14" s="16" t="n">
        <v>-2643770.920000002</v>
      </c>
      <c r="E14" t="n">
        <v>36</v>
      </c>
      <c r="F14" s="17" t="n">
        <v>0.004007163617909455</v>
      </c>
      <c r="G14" t="inlineStr">
        <is>
          <t>✓ OK</t>
        </is>
      </c>
    </row>
    <row r="15">
      <c r="A15" t="inlineStr">
        <is>
          <t>Zinc</t>
        </is>
      </c>
      <c r="B15" s="16" t="n">
        <v>141174490.75</v>
      </c>
      <c r="C15" s="16" t="n">
        <v>145392132.17</v>
      </c>
      <c r="D15" s="16" t="n">
        <v>-4217641.419999987</v>
      </c>
      <c r="E15" t="n">
        <v>39</v>
      </c>
      <c r="F15" s="17" t="n">
        <v>0.05408548281333855</v>
      </c>
      <c r="G15" t="inlineStr">
        <is>
          <t>✓ OK</t>
        </is>
      </c>
    </row>
  </sheetData>
  <mergeCells count="1">
    <mergeCell ref="A1:G1"/>
  </mergeCells>
  <conditionalFormatting sqref="F8:F15">
    <cfRule type="colorScale" priority="1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5" customWidth="1" min="3" max="3"/>
  </cols>
  <sheetData>
    <row r="1" ht="28" customHeight="1">
      <c r="A1" s="24" t="inlineStr">
        <is>
          <t>VBA MACRO REFERENCE — Copy into VBA Editor (Alt+F11)</t>
        </is>
      </c>
    </row>
    <row r="3">
      <c r="B3" s="25" t="inlineStr">
        <is>
          <t>' ============================================================</t>
        </is>
      </c>
    </row>
    <row r="4">
      <c r="B4" s="25" t="inlineStr">
        <is>
          <t>' Module: MetalsRiskMacros</t>
        </is>
      </c>
    </row>
    <row r="5">
      <c r="B5" s="25" t="inlineStr">
        <is>
          <t>' Purpose: Automate daily workbook refresh and formatting</t>
        </is>
      </c>
    </row>
    <row r="6">
      <c r="B6" s="25" t="inlineStr">
        <is>
          <t>' ============================================================</t>
        </is>
      </c>
    </row>
    <row r="7">
      <c r="B7" s="25" t="inlineStr"/>
    </row>
    <row r="8">
      <c r="B8" s="25" t="inlineStr">
        <is>
          <t>Option Explicit</t>
        </is>
      </c>
    </row>
    <row r="9">
      <c r="B9" s="25" t="inlineStr"/>
    </row>
    <row r="10">
      <c r="B10" s="25" t="inlineStr">
        <is>
          <t>' ------------------------------------------------------------</t>
        </is>
      </c>
    </row>
    <row r="11">
      <c r="B11" s="25" t="inlineStr">
        <is>
          <t>' 1. REFRESH_ALL_DATA</t>
        </is>
      </c>
    </row>
    <row r="12">
      <c r="B12" s="25" t="inlineStr">
        <is>
          <t>' Clears old data, re-imports CSVs from shared drive, rebuilds pivots</t>
        </is>
      </c>
    </row>
    <row r="13">
      <c r="B13" s="25" t="inlineStr">
        <is>
          <t>' Usage: Assign to button on README sheet</t>
        </is>
      </c>
    </row>
    <row r="14">
      <c r="B14" s="25" t="inlineStr">
        <is>
          <t>' ------------------------------------------------------------</t>
        </is>
      </c>
    </row>
    <row r="15">
      <c r="B15" s="25" t="inlineStr">
        <is>
          <t>Sub RefreshAllData()</t>
        </is>
      </c>
    </row>
    <row r="16">
      <c r="B16" s="25" t="inlineStr">
        <is>
          <t xml:space="preserve">    Dim ws As Worksheet</t>
        </is>
      </c>
    </row>
    <row r="17">
      <c r="B17" s="25" t="inlineStr">
        <is>
          <t xml:space="preserve">    Dim sPath As String</t>
        </is>
      </c>
    </row>
    <row r="18">
      <c r="B18" s="25" t="inlineStr">
        <is>
          <t xml:space="preserve">    </t>
        </is>
      </c>
    </row>
    <row r="19">
      <c r="B19" s="25" t="inlineStr">
        <is>
          <t xml:space="preserve">    On Error GoTo ErrorHandler</t>
        </is>
      </c>
    </row>
    <row r="20">
      <c r="B20" s="25" t="inlineStr">
        <is>
          <t xml:space="preserve">    </t>
        </is>
      </c>
    </row>
    <row r="21">
      <c r="B21" s="25" t="inlineStr">
        <is>
          <t xml:space="preserve">    Application.ScreenUpdating = False</t>
        </is>
      </c>
    </row>
    <row r="22">
      <c r="B22" s="25" t="inlineStr">
        <is>
          <t xml:space="preserve">    Application.Calculation = xlCalculationManual</t>
        </is>
      </c>
    </row>
    <row r="23">
      <c r="B23" s="25" t="inlineStr">
        <is>
          <t xml:space="preserve">    </t>
        </is>
      </c>
    </row>
    <row r="24">
      <c r="B24" s="25" t="inlineStr">
        <is>
          <t xml:space="preserve">    sPath = "\\bmo-server\RiskData\MetalsExports\"</t>
        </is>
      </c>
    </row>
    <row r="25">
      <c r="B25" s="25" t="inlineStr">
        <is>
          <t xml:space="preserve">    </t>
        </is>
      </c>
    </row>
    <row r="26">
      <c r="B26" s="25" t="inlineStr">
        <is>
          <t xml:space="preserve">    ' Import trade blotter</t>
        </is>
      </c>
    </row>
    <row r="27">
      <c r="B27" s="25" t="inlineStr">
        <is>
          <t xml:space="preserve">    Call ImportCSVToSheet("trades.csv", "Trade Blotter", sPath)</t>
        </is>
      </c>
    </row>
    <row r="28">
      <c r="B28" s="25" t="inlineStr">
        <is>
          <t xml:space="preserve">    </t>
        </is>
      </c>
    </row>
    <row r="29">
      <c r="B29" s="25" t="inlineStr">
        <is>
          <t xml:space="preserve">    ' Import PnL summary</t>
        </is>
      </c>
    </row>
    <row r="30">
      <c r="B30" s="25" t="inlineStr">
        <is>
          <t xml:space="preserve">    Call ImportCSVToSheet("pnl_summary.csv", "PnL Summary", sPath)</t>
        </is>
      </c>
    </row>
    <row r="31">
      <c r="B31" s="25" t="inlineStr">
        <is>
          <t xml:space="preserve">    </t>
        </is>
      </c>
    </row>
    <row r="32">
      <c r="B32" s="25" t="inlineStr">
        <is>
          <t xml:space="preserve">    ' Refresh all pivot tables</t>
        </is>
      </c>
    </row>
    <row r="33">
      <c r="B33" s="25" t="inlineStr">
        <is>
          <t xml:space="preserve">    Dim pc As PivotCache</t>
        </is>
      </c>
    </row>
    <row r="34">
      <c r="B34" s="25" t="inlineStr">
        <is>
          <t xml:space="preserve">    For Each pc In ThisWorkbook.PivotCaches</t>
        </is>
      </c>
    </row>
    <row r="35">
      <c r="B35" s="25" t="inlineStr">
        <is>
          <t xml:space="preserve">        pc.Refresh</t>
        </is>
      </c>
    </row>
    <row r="36">
      <c r="B36" s="25" t="inlineStr">
        <is>
          <t xml:space="preserve">    Next pc</t>
        </is>
      </c>
    </row>
    <row r="37">
      <c r="B37" s="25" t="inlineStr">
        <is>
          <t xml:space="preserve">    </t>
        </is>
      </c>
    </row>
    <row r="38">
      <c r="B38" s="25" t="inlineStr">
        <is>
          <t xml:space="preserve">    ' Update last-refreshed timestamp</t>
        </is>
      </c>
    </row>
    <row r="39">
      <c r="B39" s="25" t="inlineStr">
        <is>
          <t xml:space="preserve">    Sheets("README").Range("J3").Value = "Last refreshed: " &amp; Now()</t>
        </is>
      </c>
    </row>
    <row r="40">
      <c r="B40" s="25" t="inlineStr">
        <is>
          <t xml:space="preserve">    </t>
        </is>
      </c>
    </row>
    <row r="41">
      <c r="B41" s="25" t="inlineStr">
        <is>
          <t xml:space="preserve">    Application.Calculation = xlCalculationAutomatic</t>
        </is>
      </c>
    </row>
    <row r="42">
      <c r="B42" s="25" t="inlineStr">
        <is>
          <t xml:space="preserve">    Application.ScreenUpdating = True</t>
        </is>
      </c>
    </row>
    <row r="43">
      <c r="B43" s="25" t="inlineStr">
        <is>
          <t xml:space="preserve">    MsgBox "Refresh complete: " &amp; Format(Now(), "dd-mmm-yyyy hh:mm"), _</t>
        </is>
      </c>
    </row>
    <row r="44">
      <c r="B44" s="25" t="inlineStr">
        <is>
          <t xml:space="preserve">           vbInformation, "Metals Risk Dashboard"</t>
        </is>
      </c>
    </row>
    <row r="45">
      <c r="B45" s="25" t="inlineStr">
        <is>
          <t xml:space="preserve">    Exit Sub</t>
        </is>
      </c>
    </row>
    <row r="46">
      <c r="B46" s="25" t="inlineStr">
        <is>
          <t xml:space="preserve">    </t>
        </is>
      </c>
    </row>
    <row r="47">
      <c r="B47" s="25" t="inlineStr">
        <is>
          <t>ErrorHandler:</t>
        </is>
      </c>
    </row>
    <row r="48">
      <c r="B48" s="25" t="inlineStr">
        <is>
          <t xml:space="preserve">    Application.Calculation = xlCalculationAutomatic</t>
        </is>
      </c>
    </row>
    <row r="49">
      <c r="B49" s="25" t="inlineStr">
        <is>
          <t xml:space="preserve">    Application.ScreenUpdating = True</t>
        </is>
      </c>
    </row>
    <row r="50">
      <c r="B50" s="25" t="inlineStr">
        <is>
          <t xml:space="preserve">    MsgBox "Error during refresh: " &amp; Err.Description, vbCritical, "Error"</t>
        </is>
      </c>
    </row>
    <row r="51">
      <c r="B51" s="25" t="inlineStr">
        <is>
          <t>End Sub</t>
        </is>
      </c>
    </row>
    <row r="52">
      <c r="B52" s="25" t="inlineStr"/>
    </row>
    <row r="53">
      <c r="B53" s="25" t="inlineStr"/>
    </row>
    <row r="54">
      <c r="B54" s="25" t="inlineStr">
        <is>
          <t>' ------------------------------------------------------------</t>
        </is>
      </c>
    </row>
    <row r="55">
      <c r="B55" s="25" t="inlineStr">
        <is>
          <t>' 2. IMPORT_CSV_TO_SHEET</t>
        </is>
      </c>
    </row>
    <row r="56">
      <c r="B56" s="25" t="inlineStr">
        <is>
          <t>' Generic CSV importer with header detection</t>
        </is>
      </c>
    </row>
    <row r="57">
      <c r="B57" s="25" t="inlineStr">
        <is>
          <t>' ------------------------------------------------------------</t>
        </is>
      </c>
    </row>
    <row r="58">
      <c r="B58" s="25" t="inlineStr">
        <is>
          <t>Sub ImportCSVToSheet(sFile As String, sSheet As String, sPath As String)</t>
        </is>
      </c>
    </row>
    <row r="59">
      <c r="B59" s="25" t="inlineStr">
        <is>
          <t xml:space="preserve">    Dim ws As Worksheet</t>
        </is>
      </c>
    </row>
    <row r="60">
      <c r="B60" s="25" t="inlineStr">
        <is>
          <t xml:space="preserve">    Dim sFullPath As String</t>
        </is>
      </c>
    </row>
    <row r="61">
      <c r="B61" s="25" t="inlineStr">
        <is>
          <t xml:space="preserve">    </t>
        </is>
      </c>
    </row>
    <row r="62">
      <c r="B62" s="25" t="inlineStr">
        <is>
          <t xml:space="preserve">    sFullPath = sPath &amp; sFile</t>
        </is>
      </c>
    </row>
    <row r="63">
      <c r="B63" s="25" t="inlineStr">
        <is>
          <t xml:space="preserve">    </t>
        </is>
      </c>
    </row>
    <row r="64">
      <c r="B64" s="25" t="inlineStr">
        <is>
          <t xml:space="preserve">    If Not FileExists(sFullPath) Then</t>
        </is>
      </c>
    </row>
    <row r="65">
      <c r="B65" s="25" t="inlineStr">
        <is>
          <t xml:space="preserve">        MsgBox "File not found: " &amp; sFullPath, vbExclamation</t>
        </is>
      </c>
    </row>
    <row r="66">
      <c r="B66" s="25" t="inlineStr">
        <is>
          <t xml:space="preserve">        Exit Sub</t>
        </is>
      </c>
    </row>
    <row r="67">
      <c r="B67" s="25" t="inlineStr">
        <is>
          <t xml:space="preserve">    End If</t>
        </is>
      </c>
    </row>
    <row r="68">
      <c r="B68" s="25" t="inlineStr">
        <is>
          <t xml:space="preserve">    </t>
        </is>
      </c>
    </row>
    <row r="69">
      <c r="B69" s="25" t="inlineStr">
        <is>
          <t xml:space="preserve">    Set ws = ThisWorkbook.Sheets(sSheet)</t>
        </is>
      </c>
    </row>
    <row r="70">
      <c r="B70" s="25" t="inlineStr">
        <is>
          <t xml:space="preserve">    </t>
        </is>
      </c>
    </row>
    <row r="71">
      <c r="B71" s="25" t="inlineStr">
        <is>
          <t xml:space="preserve">    ' Clear existing data (keep header row 1)</t>
        </is>
      </c>
    </row>
    <row r="72">
      <c r="B72" s="25" t="inlineStr">
        <is>
          <t xml:space="preserve">    ws.Rows("2:" &amp; ws.Rows.Count).ClearContents</t>
        </is>
      </c>
    </row>
    <row r="73">
      <c r="B73" s="25" t="inlineStr">
        <is>
          <t xml:space="preserve">    </t>
        </is>
      </c>
    </row>
    <row r="74">
      <c r="B74" s="25" t="inlineStr">
        <is>
          <t xml:space="preserve">    ' Open CSV and copy data</t>
        </is>
      </c>
    </row>
    <row r="75">
      <c r="B75" s="25" t="inlineStr">
        <is>
          <t xml:space="preserve">    Dim wbCSV As Workbook</t>
        </is>
      </c>
    </row>
    <row r="76">
      <c r="B76" s="25" t="inlineStr">
        <is>
          <t xml:space="preserve">    Set wbCSV = Workbooks.Open(sFullPath, ReadOnly:=True)</t>
        </is>
      </c>
    </row>
    <row r="77">
      <c r="B77" s="25" t="inlineStr">
        <is>
          <t xml:space="preserve">    </t>
        </is>
      </c>
    </row>
    <row r="78">
      <c r="B78" s="25" t="inlineStr">
        <is>
          <t xml:space="preserve">    wbCSV.Sheets(1).UsedRange.Offset(1, 0).Copy</t>
        </is>
      </c>
    </row>
    <row r="79">
      <c r="B79" s="25" t="inlineStr">
        <is>
          <t xml:space="preserve">    ws.Range("A2").PasteSpecial xlPasteValues</t>
        </is>
      </c>
    </row>
    <row r="80">
      <c r="B80" s="25" t="inlineStr">
        <is>
          <t xml:space="preserve">    </t>
        </is>
      </c>
    </row>
    <row r="81">
      <c r="B81" s="25" t="inlineStr">
        <is>
          <t xml:space="preserve">    wbCSV.Close False</t>
        </is>
      </c>
    </row>
    <row r="82">
      <c r="B82" s="25" t="inlineStr">
        <is>
          <t xml:space="preserve">    Application.CutCopyMode = False</t>
        </is>
      </c>
    </row>
    <row r="83">
      <c r="B83" s="25" t="inlineStr">
        <is>
          <t>End Sub</t>
        </is>
      </c>
    </row>
    <row r="84">
      <c r="B84" s="25" t="inlineStr"/>
    </row>
    <row r="85">
      <c r="B85" s="25" t="inlineStr"/>
    </row>
    <row r="86">
      <c r="B86" s="25" t="inlineStr">
        <is>
          <t>' ------------------------------------------------------------</t>
        </is>
      </c>
    </row>
    <row r="87">
      <c r="B87" s="25" t="inlineStr">
        <is>
          <t>' 3. FORMAT_PNL_COLUMN</t>
        </is>
      </c>
    </row>
    <row r="88">
      <c r="B88" s="25" t="inlineStr">
        <is>
          <t>' Applies green/red conditional formatting to any PnL column</t>
        </is>
      </c>
    </row>
    <row r="89">
      <c r="B89" s="25" t="inlineStr">
        <is>
          <t>' Usage: Select PnL range, then run macro</t>
        </is>
      </c>
    </row>
    <row r="90">
      <c r="B90" s="25" t="inlineStr">
        <is>
          <t>' ------------------------------------------------------------</t>
        </is>
      </c>
    </row>
    <row r="91">
      <c r="B91" s="25" t="inlineStr">
        <is>
          <t>Sub FormatPnLColumn()</t>
        </is>
      </c>
    </row>
    <row r="92">
      <c r="B92" s="25" t="inlineStr">
        <is>
          <t xml:space="preserve">    Dim rng As Range</t>
        </is>
      </c>
    </row>
    <row r="93">
      <c r="B93" s="25" t="inlineStr">
        <is>
          <t xml:space="preserve">    Set rng = Selection</t>
        </is>
      </c>
    </row>
    <row r="94">
      <c r="B94" s="25" t="inlineStr">
        <is>
          <t xml:space="preserve">    </t>
        </is>
      </c>
    </row>
    <row r="95">
      <c r="B95" s="25" t="inlineStr">
        <is>
          <t xml:space="preserve">    If rng Is Nothing Then</t>
        </is>
      </c>
    </row>
    <row r="96">
      <c r="B96" s="25" t="inlineStr">
        <is>
          <t xml:space="preserve">        MsgBox "Select a range first", vbExclamation</t>
        </is>
      </c>
    </row>
    <row r="97">
      <c r="B97" s="25" t="inlineStr">
        <is>
          <t xml:space="preserve">        Exit Sub</t>
        </is>
      </c>
    </row>
    <row r="98">
      <c r="B98" s="25" t="inlineStr">
        <is>
          <t xml:space="preserve">    End If</t>
        </is>
      </c>
    </row>
    <row r="99">
      <c r="B99" s="25" t="inlineStr">
        <is>
          <t xml:space="preserve">    </t>
        </is>
      </c>
    </row>
    <row r="100">
      <c r="B100" s="25" t="inlineStr">
        <is>
          <t xml:space="preserve">    ' Clear existing conditional formats</t>
        </is>
      </c>
    </row>
    <row r="101">
      <c r="B101" s="25" t="inlineStr">
        <is>
          <t xml:space="preserve">    rng.FormatConditions.Delete</t>
        </is>
      </c>
    </row>
    <row r="102">
      <c r="B102" s="25" t="inlineStr">
        <is>
          <t xml:space="preserve">    </t>
        </is>
      </c>
    </row>
    <row r="103">
      <c r="B103" s="25" t="inlineStr">
        <is>
          <t xml:space="preserve">    ' Positive = green fill</t>
        </is>
      </c>
    </row>
    <row r="104">
      <c r="B104" s="25" t="inlineStr">
        <is>
          <t xml:space="preserve">    Dim fcPos As FormatCondition</t>
        </is>
      </c>
    </row>
    <row r="105">
      <c r="B105" s="25" t="inlineStr">
        <is>
          <t xml:space="preserve">    Set fcPos = rng.FormatConditions.Add( _</t>
        </is>
      </c>
    </row>
    <row r="106">
      <c r="B106" s="25" t="inlineStr">
        <is>
          <t xml:space="preserve">        Type:=xlCellValue, Operator:=xlGreater, Formula1:="0")</t>
        </is>
      </c>
    </row>
    <row r="107">
      <c r="B107" s="25" t="inlineStr">
        <is>
          <t xml:space="preserve">    fcPos.Interior.Color = RGB(212, 237, 218)   ' light green</t>
        </is>
      </c>
    </row>
    <row r="108">
      <c r="B108" s="25" t="inlineStr">
        <is>
          <t xml:space="preserve">    fcPos.Font.Color = RGB(21, 87, 36)           ' dark green text</t>
        </is>
      </c>
    </row>
    <row r="109">
      <c r="B109" s="25" t="inlineStr">
        <is>
          <t xml:space="preserve">    </t>
        </is>
      </c>
    </row>
    <row r="110">
      <c r="B110" s="25" t="inlineStr">
        <is>
          <t xml:space="preserve">    ' Negative = red fill</t>
        </is>
      </c>
    </row>
    <row r="111">
      <c r="B111" s="25" t="inlineStr">
        <is>
          <t xml:space="preserve">    Dim fcNeg As FormatCondition</t>
        </is>
      </c>
    </row>
    <row r="112">
      <c r="B112" s="25" t="inlineStr">
        <is>
          <t xml:space="preserve">    Set fcNeg = rng.FormatConditions.Add( _</t>
        </is>
      </c>
    </row>
    <row r="113">
      <c r="B113" s="25" t="inlineStr">
        <is>
          <t xml:space="preserve">        Type:=xlCellValue, Operator:=xlLess, Formula1:="0")</t>
        </is>
      </c>
    </row>
    <row r="114">
      <c r="B114" s="25" t="inlineStr">
        <is>
          <t xml:space="preserve">    fcNeg.Interior.Color = RGB(248, 215, 218)   ' light red</t>
        </is>
      </c>
    </row>
    <row r="115">
      <c r="B115" s="25" t="inlineStr">
        <is>
          <t xml:space="preserve">    fcNeg.Font.Color = RGB(114, 28, 36)          ' dark red text</t>
        </is>
      </c>
    </row>
    <row r="116">
      <c r="B116" s="25" t="inlineStr">
        <is>
          <t xml:space="preserve">    </t>
        </is>
      </c>
    </row>
    <row r="117">
      <c r="B117" s="25" t="inlineStr">
        <is>
          <t xml:space="preserve">    MsgBox "PnL formatting applied to " &amp; rng.Address, vbInformation</t>
        </is>
      </c>
    </row>
    <row r="118">
      <c r="B118" s="25" t="inlineStr">
        <is>
          <t>End Sub</t>
        </is>
      </c>
    </row>
    <row r="119">
      <c r="B119" s="25" t="inlineStr"/>
    </row>
    <row r="120">
      <c r="B120" s="25" t="inlineStr"/>
    </row>
    <row r="121">
      <c r="B121" s="25" t="inlineStr">
        <is>
          <t>' ------------------------------------------------------------</t>
        </is>
      </c>
    </row>
    <row r="122">
      <c r="B122" s="25" t="inlineStr">
        <is>
          <t>' 4. SEND_DAILY_SUMMARY_EMAIL</t>
        </is>
      </c>
    </row>
    <row r="123">
      <c r="B123" s="25" t="inlineStr">
        <is>
          <t>' Builds and sends a daily PnL summary email via Outlook</t>
        </is>
      </c>
    </row>
    <row r="124">
      <c r="B124" s="25" t="inlineStr">
        <is>
          <t>' Requires: Outlook installed and configured</t>
        </is>
      </c>
    </row>
    <row r="125">
      <c r="B125" s="25" t="inlineStr">
        <is>
          <t>' ------------------------------------------------------------</t>
        </is>
      </c>
    </row>
    <row r="126">
      <c r="B126" s="25" t="inlineStr">
        <is>
          <t>Sub SendDailySummaryEmail()</t>
        </is>
      </c>
    </row>
    <row r="127">
      <c r="B127" s="25" t="inlineStr">
        <is>
          <t xml:space="preserve">    Dim olApp As Object</t>
        </is>
      </c>
    </row>
    <row r="128">
      <c r="B128" s="25" t="inlineStr">
        <is>
          <t xml:space="preserve">    Dim olMail As Object</t>
        </is>
      </c>
    </row>
    <row r="129">
      <c r="B129" s="25" t="inlineStr">
        <is>
          <t xml:space="preserve">    Dim ws As Worksheet</t>
        </is>
      </c>
    </row>
    <row r="130">
      <c r="B130" s="25" t="inlineStr">
        <is>
          <t xml:space="preserve">    Dim sBody As String</t>
        </is>
      </c>
    </row>
    <row r="131">
      <c r="B131" s="25" t="inlineStr">
        <is>
          <t xml:space="preserve">    Dim dTotalPnL As Double</t>
        </is>
      </c>
    </row>
    <row r="132">
      <c r="B132" s="25" t="inlineStr">
        <is>
          <t xml:space="preserve">    Dim dPreciousPnL As Double</t>
        </is>
      </c>
    </row>
    <row r="133">
      <c r="B133" s="25" t="inlineStr">
        <is>
          <t xml:space="preserve">    Dim dBasePnL As Double</t>
        </is>
      </c>
    </row>
    <row r="134">
      <c r="B134" s="25" t="inlineStr">
        <is>
          <t xml:space="preserve">    </t>
        </is>
      </c>
    </row>
    <row r="135">
      <c r="B135" s="25" t="inlineStr">
        <is>
          <t xml:space="preserve">    Set ws = ThisWorkbook.Sheets("PnL Summary")</t>
        </is>
      </c>
    </row>
    <row r="136">
      <c r="B136" s="25" t="inlineStr">
        <is>
          <t xml:space="preserve">    </t>
        </is>
      </c>
    </row>
    <row r="137">
      <c r="B137" s="25" t="inlineStr">
        <is>
          <t xml:space="preserve">    ' Read totals from named cells (set these up in the sheet)</t>
        </is>
      </c>
    </row>
    <row r="138">
      <c r="B138" s="25" t="inlineStr">
        <is>
          <t xml:space="preserve">    ' Assumes SUMIF formulas are in fixed cells</t>
        </is>
      </c>
    </row>
    <row r="139">
      <c r="B139" s="25" t="inlineStr">
        <is>
          <t xml:space="preserve">    On Error Resume Next</t>
        </is>
      </c>
    </row>
    <row r="140">
      <c r="B140" s="25" t="inlineStr">
        <is>
          <t xml:space="preserve">    dTotalPnL    = ws.Range("B" &amp; (ws.UsedRange.Rows.Count + 4)).Value</t>
        </is>
      </c>
    </row>
    <row r="141">
      <c r="B141" s="25" t="inlineStr">
        <is>
          <t xml:space="preserve">    dPreciousPnL = ws.Range("B" &amp; (ws.UsedRange.Rows.Count + 5)).Value</t>
        </is>
      </c>
    </row>
    <row r="142">
      <c r="B142" s="25" t="inlineStr">
        <is>
          <t xml:space="preserve">    dBasePnL     = ws.Range("B" &amp; (ws.UsedRange.Rows.Count + 6)).Value</t>
        </is>
      </c>
    </row>
    <row r="143">
      <c r="B143" s="25" t="inlineStr">
        <is>
          <t xml:space="preserve">    On Error GoTo 0</t>
        </is>
      </c>
    </row>
    <row r="144">
      <c r="B144" s="25" t="inlineStr">
        <is>
          <t xml:space="preserve">    </t>
        </is>
      </c>
    </row>
    <row r="145">
      <c r="B145" s="25" t="inlineStr">
        <is>
          <t xml:space="preserve">    ' Build email body</t>
        </is>
      </c>
    </row>
    <row r="146">
      <c r="B146" s="25" t="inlineStr">
        <is>
          <t xml:space="preserve">    sBody = "&lt;html&gt;&lt;body style='font-family:Calibri;'&gt;" &amp; _</t>
        </is>
      </c>
    </row>
    <row r="147">
      <c r="B147" s="25" t="inlineStr">
        <is>
          <t xml:space="preserve">            "&lt;h2 style='color:#0A1628;'&gt;&amp;#128202; Metals Risk — Daily PnL Summary&lt;/h2&gt;" &amp; _</t>
        </is>
      </c>
    </row>
    <row r="148">
      <c r="B148" s="25" t="inlineStr">
        <is>
          <t xml:space="preserve">            "&lt;p&gt;&lt;b&gt;Date:&lt;/b&gt; " &amp; Format(Now(), "dd-mmm-yyyy") &amp; "&lt;/p&gt;" &amp; _</t>
        </is>
      </c>
    </row>
    <row r="149">
      <c r="B149" s="25" t="inlineStr">
        <is>
          <t xml:space="preserve">            "&lt;table border='1' cellpadding='5' style='border-collapse:collapse;'&gt;" &amp; _</t>
        </is>
      </c>
    </row>
    <row r="150">
      <c r="B150" s="25" t="inlineStr">
        <is>
          <t xml:space="preserve">            "&lt;tr style='background:#1E3A5F;color:white;'&gt;" &amp; _</t>
        </is>
      </c>
    </row>
    <row r="151">
      <c r="B151" s="25" t="inlineStr">
        <is>
          <t xml:space="preserve">            "  &lt;th&gt;Desk&lt;/th&gt;&lt;th&gt;Unrealised PnL (USD)&lt;/th&gt;&lt;/tr&gt;" &amp; _</t>
        </is>
      </c>
    </row>
    <row r="152">
      <c r="B152" s="25" t="inlineStr">
        <is>
          <t xml:space="preserve">            "&lt;tr&gt;&lt;td&gt;Precious Metals&lt;/td&gt;&lt;td align='right'&gt;" &amp; _</t>
        </is>
      </c>
    </row>
    <row r="153">
      <c r="B153" s="25" t="inlineStr">
        <is>
          <t xml:space="preserve">              Format(dPreciousPnL, "$#,##0.00") &amp; "&lt;/td&gt;&lt;/tr&gt;" &amp; _</t>
        </is>
      </c>
    </row>
    <row r="154">
      <c r="B154" s="25" t="inlineStr">
        <is>
          <t xml:space="preserve">            "&lt;tr&gt;&lt;td&gt;Base Metals&lt;/td&gt;&lt;td align='right'&gt;" &amp; _</t>
        </is>
      </c>
    </row>
    <row r="155">
      <c r="B155" s="25" t="inlineStr">
        <is>
          <t xml:space="preserve">              Format(dBasePnL, "$#,##0.00") &amp; "&lt;/td&gt;&lt;/tr&gt;" &amp; _</t>
        </is>
      </c>
    </row>
    <row r="156">
      <c r="B156" s="25" t="inlineStr">
        <is>
          <t xml:space="preserve">            "&lt;tr style='font-weight:bold;'&gt;&lt;td&gt;TOTAL&lt;/td&gt;&lt;td align='right'&gt;" &amp; _</t>
        </is>
      </c>
    </row>
    <row r="157">
      <c r="B157" s="25" t="inlineStr">
        <is>
          <t xml:space="preserve">              Format(dTotalPnL, "$#,##0.00") &amp; "&lt;/td&gt;&lt;/tr&gt;" &amp; _</t>
        </is>
      </c>
    </row>
    <row r="158">
      <c r="B158" s="25" t="inlineStr">
        <is>
          <t xml:space="preserve">            "&lt;/table&gt;" &amp; _</t>
        </is>
      </c>
    </row>
    <row r="159">
      <c r="B159" s="25" t="inlineStr">
        <is>
          <t xml:space="preserve">            "&lt;p style='font-size:10px;color:gray;'&gt;Auto-generated by MetalsRiskMacros.xlsm — do not reply&lt;/p&gt;" &amp; _</t>
        </is>
      </c>
    </row>
    <row r="160">
      <c r="B160" s="25" t="inlineStr">
        <is>
          <t xml:space="preserve">            "&lt;/body&gt;&lt;/html&gt;"</t>
        </is>
      </c>
    </row>
    <row r="161">
      <c r="B161" s="25" t="inlineStr">
        <is>
          <t xml:space="preserve">    </t>
        </is>
      </c>
    </row>
    <row r="162">
      <c r="B162" s="25" t="inlineStr">
        <is>
          <t xml:space="preserve">    ' Create and send email</t>
        </is>
      </c>
    </row>
    <row r="163">
      <c r="B163" s="25" t="inlineStr">
        <is>
          <t xml:space="preserve">    Set olApp  = CreateObject("Outlook.Application")</t>
        </is>
      </c>
    </row>
    <row r="164">
      <c r="B164" s="25" t="inlineStr">
        <is>
          <t xml:space="preserve">    Set olMail = olApp.CreateItem(0)</t>
        </is>
      </c>
    </row>
    <row r="165">
      <c r="B165" s="25" t="inlineStr">
        <is>
          <t xml:space="preserve">    </t>
        </is>
      </c>
    </row>
    <row r="166">
      <c r="B166" s="25" t="inlineStr">
        <is>
          <t xml:space="preserve">    With olMail</t>
        </is>
      </c>
    </row>
    <row r="167">
      <c r="B167" s="25" t="inlineStr">
        <is>
          <t xml:space="preserve">        .To      = "dl-metals-risk@bmo.com"</t>
        </is>
      </c>
    </row>
    <row r="168">
      <c r="B168" s="25" t="inlineStr">
        <is>
          <t xml:space="preserve">        .Subject = "Metals Risk PnL Summary — " &amp; Format(Now(), "dd-mmm-yyyy")</t>
        </is>
      </c>
    </row>
    <row r="169">
      <c r="B169" s="25" t="inlineStr">
        <is>
          <t xml:space="preserve">        .HTMLBody = sBody</t>
        </is>
      </c>
    </row>
    <row r="170">
      <c r="B170" s="25" t="inlineStr">
        <is>
          <t xml:space="preserve">        .Attachments.Add ThisWorkbook.FullName</t>
        </is>
      </c>
    </row>
    <row r="171">
      <c r="B171" s="25" t="inlineStr">
        <is>
          <t xml:space="preserve">        .Display   ' Use .Send to send without preview</t>
        </is>
      </c>
    </row>
    <row r="172">
      <c r="B172" s="25" t="inlineStr">
        <is>
          <t xml:space="preserve">    End With</t>
        </is>
      </c>
    </row>
    <row r="173">
      <c r="B173" s="25" t="inlineStr">
        <is>
          <t xml:space="preserve">    </t>
        </is>
      </c>
    </row>
    <row r="174">
      <c r="B174" s="25" t="inlineStr">
        <is>
          <t xml:space="preserve">    Set olMail = Nothing</t>
        </is>
      </c>
    </row>
    <row r="175">
      <c r="B175" s="25" t="inlineStr">
        <is>
          <t xml:space="preserve">    Set olApp  = Nothing</t>
        </is>
      </c>
    </row>
    <row r="176">
      <c r="B176" s="25" t="inlineStr">
        <is>
          <t>End Sub</t>
        </is>
      </c>
    </row>
    <row r="177">
      <c r="B177" s="25" t="inlineStr"/>
    </row>
    <row r="178">
      <c r="B178" s="25" t="inlineStr"/>
    </row>
    <row r="179">
      <c r="B179" s="25" t="inlineStr">
        <is>
          <t>' ------------------------------------------------------------</t>
        </is>
      </c>
    </row>
    <row r="180">
      <c r="B180" s="25" t="inlineStr">
        <is>
          <t>' 5. HELPER: FileExists</t>
        </is>
      </c>
    </row>
    <row r="181">
      <c r="B181" s="25" t="inlineStr">
        <is>
          <t>' ------------------------------------------------------------</t>
        </is>
      </c>
    </row>
    <row r="182">
      <c r="B182" s="25" t="inlineStr">
        <is>
          <t>Function FileExists(sPath As String) As Boolean</t>
        </is>
      </c>
    </row>
    <row r="183">
      <c r="B183" s="25" t="inlineStr">
        <is>
          <t xml:space="preserve">    FileExists = (Dir(sPath) &lt;&gt; "")</t>
        </is>
      </c>
    </row>
    <row r="184">
      <c r="B184" s="25" t="inlineStr">
        <is>
          <t>End Function</t>
        </is>
      </c>
    </row>
    <row r="185">
      <c r="B185" s="25" t="inlineStr"/>
    </row>
    <row r="186">
      <c r="B186" s="25" t="inlineStr"/>
    </row>
    <row r="187">
      <c r="B187" s="25" t="inlineStr">
        <is>
          <t>' ------------------------------------------------------------</t>
        </is>
      </c>
    </row>
    <row r="188">
      <c r="B188" s="25" t="inlineStr">
        <is>
          <t>' 6. HIGHLIGHT_BREACHES</t>
        </is>
      </c>
    </row>
    <row r="189">
      <c r="B189" s="25" t="inlineStr">
        <is>
          <t>' Scans Risk Exposure sheet and flags concentration &gt; 40%</t>
        </is>
      </c>
    </row>
    <row r="190">
      <c r="B190" s="25" t="inlineStr">
        <is>
          <t>' ------------------------------------------------------------</t>
        </is>
      </c>
    </row>
    <row r="191">
      <c r="B191" s="25" t="inlineStr">
        <is>
          <t>Sub HighlightBreaches()</t>
        </is>
      </c>
    </row>
    <row r="192">
      <c r="B192" s="25" t="inlineStr">
        <is>
          <t xml:space="preserve">    Dim ws As Worksheet</t>
        </is>
      </c>
    </row>
    <row r="193">
      <c r="B193" s="25" t="inlineStr">
        <is>
          <t xml:space="preserve">    Dim lastRow As Long</t>
        </is>
      </c>
    </row>
    <row r="194">
      <c r="B194" s="25" t="inlineStr">
        <is>
          <t xml:space="preserve">    Dim i As Long</t>
        </is>
      </c>
    </row>
    <row r="195">
      <c r="B195" s="25" t="inlineStr">
        <is>
          <t xml:space="preserve">    Dim concPct As Double</t>
        </is>
      </c>
    </row>
    <row r="196">
      <c r="B196" s="25" t="inlineStr">
        <is>
          <t xml:space="preserve">    </t>
        </is>
      </c>
    </row>
    <row r="197">
      <c r="B197" s="25" t="inlineStr">
        <is>
          <t xml:space="preserve">    Set ws = ThisWorkbook.Sheets("Risk Exposure")</t>
        </is>
      </c>
    </row>
    <row r="198">
      <c r="B198" s="25" t="inlineStr">
        <is>
          <t xml:space="preserve">    lastRow = ws.Cells(ws.Rows.Count, 1).End(xlUp).Row</t>
        </is>
      </c>
    </row>
    <row r="199">
      <c r="B199" s="25" t="inlineStr">
        <is>
          <t xml:space="preserve">    </t>
        </is>
      </c>
    </row>
    <row r="200">
      <c r="B200" s="25" t="inlineStr">
        <is>
          <t xml:space="preserve">    For i = 8 To lastRow</t>
        </is>
      </c>
    </row>
    <row r="201">
      <c r="B201" s="25" t="inlineStr">
        <is>
          <t xml:space="preserve">        On Error Resume Next</t>
        </is>
      </c>
    </row>
    <row r="202">
      <c r="B202" s="25" t="inlineStr">
        <is>
          <t xml:space="preserve">        concPct = ws.Cells(i, 6).Value</t>
        </is>
      </c>
    </row>
    <row r="203">
      <c r="B203" s="25" t="inlineStr">
        <is>
          <t xml:space="preserve">        On Error GoTo 0</t>
        </is>
      </c>
    </row>
    <row r="204">
      <c r="B204" s="25" t="inlineStr">
        <is>
          <t xml:space="preserve">        </t>
        </is>
      </c>
    </row>
    <row r="205">
      <c r="B205" s="25" t="inlineStr">
        <is>
          <t xml:space="preserve">        If concPct &gt; 0.4 Then</t>
        </is>
      </c>
    </row>
    <row r="206">
      <c r="B206" s="25" t="inlineStr">
        <is>
          <t xml:space="preserve">            ws.Rows(i).Interior.Color = RGB(248, 215, 218)   ' Red</t>
        </is>
      </c>
    </row>
    <row r="207">
      <c r="B207" s="25" t="inlineStr">
        <is>
          <t xml:space="preserve">            ws.Cells(i, 7).Value = "BREACH"</t>
        </is>
      </c>
    </row>
    <row r="208">
      <c r="B208" s="25" t="inlineStr">
        <is>
          <t xml:space="preserve">            ws.Cells(i, 7).Font.Bold = True</t>
        </is>
      </c>
    </row>
    <row r="209">
      <c r="B209" s="25" t="inlineStr">
        <is>
          <t xml:space="preserve">            ws.Cells(i, 7).Font.Color = RGB(114, 28, 36)</t>
        </is>
      </c>
    </row>
    <row r="210">
      <c r="B210" s="25" t="inlineStr">
        <is>
          <t xml:space="preserve">        ElseIf concPct &gt; 0.25 Then</t>
        </is>
      </c>
    </row>
    <row r="211">
      <c r="B211" s="25" t="inlineStr">
        <is>
          <t xml:space="preserve">            ws.Rows(i).Interior.Color = RGB(255, 243, 205)   ' Amber</t>
        </is>
      </c>
    </row>
    <row r="212">
      <c r="B212" s="25" t="inlineStr">
        <is>
          <t xml:space="preserve">        End If</t>
        </is>
      </c>
    </row>
    <row r="213">
      <c r="B213" s="25" t="inlineStr">
        <is>
          <t xml:space="preserve">    Next i</t>
        </is>
      </c>
    </row>
    <row r="214">
      <c r="B214" s="25" t="inlineStr">
        <is>
          <t xml:space="preserve">    </t>
        </is>
      </c>
    </row>
    <row r="215">
      <c r="B215" s="25" t="inlineStr">
        <is>
          <t xml:space="preserve">    MsgBox "Breach scan complete.", vbInformation</t>
        </is>
      </c>
    </row>
    <row r="216">
      <c r="B216" s="25" t="inlineStr">
        <is>
          <t>End Sub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2026-06-02T21:58:24Z</dcterms:created>
  <dcterms:modified xmlns:dcterms="http://purl.org/dc/terms/" xmlns:xsi="http://www.w3.org/2001/XMLSchema-instance" xsi:type="dcterms:W3CDTF">2026-06-02T21:58:25Z</dcterms:modified>
</cp:coreProperties>
</file>